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法合併訂單" sheetId="1" state="visible" r:id="rId1"/>
    <sheet xmlns:r="http://schemas.openxmlformats.org/officeDocument/2006/relationships" name="拉法合併訂單" sheetId="2" state="visible" r:id="rId2"/>
    <sheet xmlns:r="http://schemas.openxmlformats.org/officeDocument/2006/relationships" name="大法原始資料" sheetId="3" state="visible" r:id="rId3"/>
    <sheet xmlns:r="http://schemas.openxmlformats.org/officeDocument/2006/relationships" name="拉法原始資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b val="1"/>
      <color rgb="001F497D"/>
      <sz val="10"/>
    </font>
    <font>
      <name val="Microsoft JhengHei"/>
      <sz val="10"/>
    </font>
    <font>
      <name val="Microsoft JhengHei"/>
      <color rgb="000000FF"/>
      <sz val="10"/>
      <u val="single"/>
    </font>
  </fonts>
  <fills count="5">
    <fill>
      <patternFill/>
    </fill>
    <fill>
      <patternFill patternType="gray125"/>
    </fill>
    <fill>
      <patternFill patternType="solid">
        <fgColor rgb="00365F91"/>
        <bgColor rgb="00365F91"/>
      </patternFill>
    </fill>
    <fill>
      <patternFill patternType="solid">
        <fgColor rgb="00FFFFFF"/>
        <bgColor rgb="00FFFFFF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5" customHeight="1">
      <c r="A1" s="1" t="inlineStr">
        <is>
          <t>併單單號</t>
        </is>
      </c>
      <c r="B1" s="1" t="inlineStr">
        <is>
          <t>(客戶全稱)</t>
        </is>
      </c>
      <c r="C1" s="1" t="inlineStr">
        <is>
          <t>聯絡電話</t>
        </is>
      </c>
      <c r="D1" s="1" t="inlineStr">
        <is>
          <t>地址</t>
        </is>
      </c>
      <c r="E1" s="1" t="inlineStr">
        <is>
          <t>合併單據數量</t>
        </is>
      </c>
      <c r="F1" s="1" t="inlineStr">
        <is>
          <t>來源公司(公司)</t>
        </is>
      </c>
      <c r="G1" s="1" t="inlineStr">
        <is>
          <t>原始單據號碼(來源單號)</t>
        </is>
      </c>
      <c r="H1" s="1" t="inlineStr">
        <is>
          <t>發票號碼</t>
        </is>
      </c>
      <c r="I1" s="1" t="inlineStr">
        <is>
          <t>備註</t>
        </is>
      </c>
    </row>
    <row r="2" ht="20" customHeight="1">
      <c r="A2" s="2" t="inlineStr">
        <is>
          <t>11507080087</t>
        </is>
      </c>
      <c r="B2" s="3" t="inlineStr">
        <is>
          <t>美日藥局</t>
        </is>
      </c>
      <c r="C2" s="3" t="inlineStr"/>
      <c r="D2" s="3" t="inlineStr">
        <is>
          <t>104台北巿中山區天津街66號1F</t>
        </is>
      </c>
      <c r="E2" s="4" t="n">
        <v>1</v>
      </c>
      <c r="F2" s="4" t="inlineStr">
        <is>
          <t>大法</t>
        </is>
      </c>
      <c r="G2" s="5">
        <f>HYPERLINK("#'大法原始資料'!A87", "11507080087")</f>
        <v/>
      </c>
      <c r="H2" s="4" t="inlineStr">
        <is>
          <t>DL01166232</t>
        </is>
      </c>
      <c r="I2" s="6" t="inlineStr">
        <is>
          <t>美日(急件）</t>
        </is>
      </c>
    </row>
    <row r="3" ht="20" customHeight="1">
      <c r="A3" s="7" t="inlineStr">
        <is>
          <t>11507080114</t>
        </is>
      </c>
      <c r="B3" s="8" t="inlineStr">
        <is>
          <t>老永茂藥局</t>
        </is>
      </c>
      <c r="C3" s="8" t="inlineStr"/>
      <c r="D3" s="8" t="inlineStr">
        <is>
          <t>108台北市萬華區廣州街64號</t>
        </is>
      </c>
      <c r="E3" s="9" t="n">
        <v>1</v>
      </c>
      <c r="F3" s="9" t="inlineStr">
        <is>
          <t>大法</t>
        </is>
      </c>
      <c r="G3" s="10">
        <f>HYPERLINK("#'大法原始資料'!A114", "11507080114")</f>
        <v/>
      </c>
      <c r="H3" s="9" t="inlineStr"/>
      <c r="I3" s="11" t="inlineStr">
        <is>
          <t>老永茂（親送）</t>
        </is>
      </c>
    </row>
    <row r="4" ht="20" customHeight="1">
      <c r="A4" s="2" t="inlineStr">
        <is>
          <t>11507080062</t>
        </is>
      </c>
      <c r="B4" s="3" t="inlineStr">
        <is>
          <t>順儷健康事業股份有限公司大葉門市</t>
        </is>
      </c>
      <c r="C4" s="3" t="inlineStr"/>
      <c r="D4" s="3" t="inlineStr">
        <is>
          <t>111台北市士林區忠誠路2段55號地下1層</t>
        </is>
      </c>
      <c r="E4" s="4" t="n">
        <v>2</v>
      </c>
      <c r="F4" s="4" t="inlineStr">
        <is>
          <t>大法</t>
        </is>
      </c>
      <c r="G4" s="5">
        <f>HYPERLINK("#'大法原始資料'!A65", "11507080065")</f>
        <v/>
      </c>
      <c r="H4" s="4" t="inlineStr">
        <is>
          <t>DL01166210</t>
        </is>
      </c>
      <c r="I4" s="6" t="inlineStr">
        <is>
          <t>採購單號:1150706213</t>
        </is>
      </c>
    </row>
    <row r="5" ht="20" customHeight="1">
      <c r="A5" s="2" t="n"/>
      <c r="B5" s="3" t="n"/>
      <c r="C5" s="3" t="n"/>
      <c r="D5" s="3" t="n"/>
      <c r="E5" s="4" t="n"/>
      <c r="F5" s="4" t="inlineStr">
        <is>
          <t>大法</t>
        </is>
      </c>
      <c r="G5" s="5">
        <f>HYPERLINK("#'大法原始資料'!A62", "11507080062")</f>
        <v/>
      </c>
      <c r="H5" s="4" t="inlineStr">
        <is>
          <t>DL01166207</t>
        </is>
      </c>
      <c r="I5" s="6" t="inlineStr">
        <is>
          <t>採購單號:1150706224</t>
        </is>
      </c>
    </row>
    <row r="6" ht="20" customHeight="1">
      <c r="A6" s="7" t="inlineStr">
        <is>
          <t>11507080002</t>
        </is>
      </c>
      <c r="B6" s="8" t="inlineStr">
        <is>
          <t>康揚藥局</t>
        </is>
      </c>
      <c r="C6" s="8" t="inlineStr"/>
      <c r="D6" s="8" t="inlineStr">
        <is>
          <t>112台北市北投區中和街308號</t>
        </is>
      </c>
      <c r="E6" s="9" t="n">
        <v>1</v>
      </c>
      <c r="F6" s="9" t="inlineStr">
        <is>
          <t>大法</t>
        </is>
      </c>
      <c r="G6" s="10">
        <f>HYPERLINK("#'大法原始資料'!A3", "11507080002")</f>
        <v/>
      </c>
      <c r="H6" s="9" t="inlineStr">
        <is>
          <t>DL01166149</t>
        </is>
      </c>
      <c r="I6" s="11" t="inlineStr">
        <is>
          <t>Q(P)</t>
        </is>
      </c>
    </row>
    <row r="7" ht="20" customHeight="1">
      <c r="A7" s="2" t="inlineStr">
        <is>
          <t>11507080088</t>
        </is>
      </c>
      <c r="B7" s="3" t="inlineStr">
        <is>
          <t>泰成藥局</t>
        </is>
      </c>
      <c r="C7" s="3" t="inlineStr"/>
      <c r="D7" s="3" t="inlineStr">
        <is>
          <t>114台北市內湖區內湖路三段135號1F</t>
        </is>
      </c>
      <c r="E7" s="4" t="n">
        <v>1</v>
      </c>
      <c r="F7" s="4" t="inlineStr">
        <is>
          <t>大法</t>
        </is>
      </c>
      <c r="G7" s="5">
        <f>HYPERLINK("#'大法原始資料'!A88", "11507080088")</f>
        <v/>
      </c>
      <c r="H7" s="4" t="inlineStr">
        <is>
          <t>DL01166233</t>
        </is>
      </c>
      <c r="I7" s="6" t="inlineStr"/>
    </row>
    <row r="8" ht="20" customHeight="1">
      <c r="A8" s="7" t="inlineStr">
        <is>
          <t>11507080086</t>
        </is>
      </c>
      <c r="B8" s="8" t="inlineStr">
        <is>
          <t>喬寶藥局</t>
        </is>
      </c>
      <c r="C8" s="8" t="inlineStr"/>
      <c r="D8" s="8" t="inlineStr">
        <is>
          <t>202基隆市中正區義二路六十六號一樓</t>
        </is>
      </c>
      <c r="E8" s="9" t="n">
        <v>1</v>
      </c>
      <c r="F8" s="9" t="inlineStr">
        <is>
          <t>大法</t>
        </is>
      </c>
      <c r="G8" s="10">
        <f>HYPERLINK("#'大法原始資料'!A86", "11507080086")</f>
        <v/>
      </c>
      <c r="H8" s="9" t="inlineStr">
        <is>
          <t>DL01166231</t>
        </is>
      </c>
      <c r="I8" s="11" t="inlineStr"/>
    </row>
    <row r="9" ht="20" customHeight="1">
      <c r="A9" s="2" t="inlineStr">
        <is>
          <t>11507080076</t>
        </is>
      </c>
      <c r="B9" s="3" t="inlineStr">
        <is>
          <t>戴安藥局</t>
        </is>
      </c>
      <c r="C9" s="3" t="inlineStr"/>
      <c r="D9" s="3" t="inlineStr">
        <is>
          <t>220新北巿板橋區溪北路54號</t>
        </is>
      </c>
      <c r="E9" s="4" t="n">
        <v>2</v>
      </c>
      <c r="F9" s="4" t="inlineStr">
        <is>
          <t>大法</t>
        </is>
      </c>
      <c r="G9" s="5">
        <f>HYPERLINK("#'大法原始資料'!A76", "11507080076")</f>
        <v/>
      </c>
      <c r="H9" s="4" t="inlineStr">
        <is>
          <t>DL01166221</t>
        </is>
      </c>
      <c r="I9" s="6" t="inlineStr"/>
    </row>
    <row r="10" ht="20" customHeight="1">
      <c r="A10" s="2" t="n"/>
      <c r="B10" s="3" t="n"/>
      <c r="C10" s="3" t="n"/>
      <c r="D10" s="3" t="n"/>
      <c r="E10" s="4" t="n"/>
      <c r="F10" s="4" t="inlineStr">
        <is>
          <t>大法</t>
        </is>
      </c>
      <c r="G10" s="5">
        <f>HYPERLINK("#'大法原始資料'!A77", "11507080077")</f>
        <v/>
      </c>
      <c r="H10" s="4" t="inlineStr">
        <is>
          <t>DL01166222</t>
        </is>
      </c>
      <c r="I10" s="6" t="inlineStr"/>
    </row>
    <row r="11" ht="20" customHeight="1">
      <c r="A11" s="7" t="inlineStr">
        <is>
          <t>11507080057</t>
        </is>
      </c>
      <c r="B11" s="8" t="inlineStr">
        <is>
          <t>順儷府中藥局</t>
        </is>
      </c>
      <c r="C11" s="8" t="inlineStr"/>
      <c r="D11" s="8" t="inlineStr">
        <is>
          <t>220新北市板橋區中山路一段96號1、2樓</t>
        </is>
      </c>
      <c r="E11" s="9" t="n">
        <v>1</v>
      </c>
      <c r="F11" s="9" t="inlineStr">
        <is>
          <t>大法</t>
        </is>
      </c>
      <c r="G11" s="10">
        <f>HYPERLINK("#'大法原始資料'!A57", "11507080057")</f>
        <v/>
      </c>
      <c r="H11" s="9" t="inlineStr">
        <is>
          <t>DL01166202</t>
        </is>
      </c>
      <c r="I11" s="11" t="inlineStr">
        <is>
          <t>採購單號:1150706214</t>
        </is>
      </c>
    </row>
    <row r="12" ht="20" customHeight="1">
      <c r="A12" s="2" t="inlineStr">
        <is>
          <t>11507080029</t>
        </is>
      </c>
      <c r="B12" s="3" t="inlineStr">
        <is>
          <t>翰林藥局</t>
        </is>
      </c>
      <c r="C12" s="3" t="inlineStr"/>
      <c r="D12" s="3" t="inlineStr">
        <is>
          <t>220新北市板橋區中正路240號</t>
        </is>
      </c>
      <c r="E12" s="4" t="n">
        <v>2</v>
      </c>
      <c r="F12" s="4" t="inlineStr">
        <is>
          <t>大法</t>
        </is>
      </c>
      <c r="G12" s="5">
        <f>HYPERLINK("#'大法原始資料'!A29", "11507080029")</f>
        <v/>
      </c>
      <c r="H12" s="4" t="inlineStr">
        <is>
          <t>DL01166174</t>
        </is>
      </c>
      <c r="I12" s="6" t="inlineStr"/>
    </row>
    <row r="13" ht="20" customHeight="1">
      <c r="A13" s="2" t="n"/>
      <c r="B13" s="3" t="n"/>
      <c r="C13" s="3" t="n"/>
      <c r="D13" s="3" t="n"/>
      <c r="E13" s="4" t="n"/>
      <c r="F13" s="4" t="inlineStr">
        <is>
          <t>大法</t>
        </is>
      </c>
      <c r="G13" s="5">
        <f>HYPERLINK("#'大法原始資料'!A84", "11507080084")</f>
        <v/>
      </c>
      <c r="H13" s="4" t="inlineStr">
        <is>
          <t>DL01166229</t>
        </is>
      </c>
      <c r="I13" s="6" t="inlineStr"/>
    </row>
    <row r="14" ht="20" customHeight="1">
      <c r="A14" s="7" t="inlineStr">
        <is>
          <t>11507080060</t>
        </is>
      </c>
      <c r="B14" s="8" t="inlineStr">
        <is>
          <t>順儷國泰藥局</t>
        </is>
      </c>
      <c r="C14" s="8" t="inlineStr"/>
      <c r="D14" s="8" t="inlineStr">
        <is>
          <t>220新北市板橋區國泰街28號1樓</t>
        </is>
      </c>
      <c r="E14" s="9" t="n">
        <v>1</v>
      </c>
      <c r="F14" s="9" t="inlineStr">
        <is>
          <t>大法</t>
        </is>
      </c>
      <c r="G14" s="10">
        <f>HYPERLINK("#'大法原始資料'!A60", "11507080060")</f>
        <v/>
      </c>
      <c r="H14" s="9" t="inlineStr">
        <is>
          <t>DL01166205</t>
        </is>
      </c>
      <c r="I14" s="11" t="inlineStr">
        <is>
          <t>採購單號:1150706222</t>
        </is>
      </c>
    </row>
    <row r="15" ht="20" customHeight="1">
      <c r="A15" s="2" t="inlineStr">
        <is>
          <t>11507080028</t>
        </is>
      </c>
      <c r="B15" s="3" t="inlineStr">
        <is>
          <t>柏仁藥局</t>
        </is>
      </c>
      <c r="C15" s="3" t="inlineStr">
        <is>
          <t>2686-0978</t>
        </is>
      </c>
      <c r="D15" s="3" t="inlineStr">
        <is>
          <t>220新北市板橋區大觀路三段160巷38號1樓</t>
        </is>
      </c>
      <c r="E15" s="4" t="n">
        <v>5</v>
      </c>
      <c r="F15" s="4" t="inlineStr">
        <is>
          <t>拉法</t>
        </is>
      </c>
      <c r="G15" s="5">
        <f>HYPERLINK("#'拉法原始資料'!A30", "11507080029")</f>
        <v/>
      </c>
      <c r="H15" s="4" t="inlineStr">
        <is>
          <t>DM07864878</t>
        </is>
      </c>
      <c r="I15" s="6" t="inlineStr">
        <is>
          <t>Q</t>
        </is>
      </c>
    </row>
    <row r="16" ht="20" customHeight="1">
      <c r="A16" s="2" t="n"/>
      <c r="B16" s="3" t="n"/>
      <c r="C16" s="3" t="n"/>
      <c r="D16" s="3" t="n"/>
      <c r="E16" s="4" t="n"/>
      <c r="F16" s="4" t="inlineStr">
        <is>
          <t>大法</t>
        </is>
      </c>
      <c r="G16" s="5">
        <f>HYPERLINK("#'大法原始資料'!A80", "11507080080")</f>
        <v/>
      </c>
      <c r="H16" s="4" t="inlineStr">
        <is>
          <t>DL01166225</t>
        </is>
      </c>
      <c r="I16" s="6" t="inlineStr">
        <is>
          <t>Q</t>
        </is>
      </c>
    </row>
    <row r="17" ht="20" customHeight="1">
      <c r="A17" s="2" t="n"/>
      <c r="B17" s="3" t="n"/>
      <c r="C17" s="3" t="n"/>
      <c r="D17" s="3" t="n"/>
      <c r="E17" s="4" t="n"/>
      <c r="F17" s="4" t="inlineStr">
        <is>
          <t>拉法</t>
        </is>
      </c>
      <c r="G17" s="5">
        <f>HYPERLINK("#'拉法原始資料'!A29", "11507080028")</f>
        <v/>
      </c>
      <c r="H17" s="4" t="inlineStr">
        <is>
          <t>DM07864877</t>
        </is>
      </c>
      <c r="I17" s="6" t="inlineStr">
        <is>
          <t>Q</t>
        </is>
      </c>
    </row>
    <row r="18" ht="20" customHeight="1">
      <c r="A18" s="2" t="n"/>
      <c r="B18" s="3" t="n"/>
      <c r="C18" s="3" t="n"/>
      <c r="D18" s="3" t="n"/>
      <c r="E18" s="4" t="n"/>
      <c r="F18" s="4" t="inlineStr">
        <is>
          <t>大法</t>
        </is>
      </c>
      <c r="G18" s="5">
        <f>HYPERLINK("#'大法原始資料'!A79", "11507080079")</f>
        <v/>
      </c>
      <c r="H18" s="4" t="inlineStr">
        <is>
          <t>DL01166224</t>
        </is>
      </c>
      <c r="I18" s="6" t="inlineStr">
        <is>
          <t>Q</t>
        </is>
      </c>
    </row>
    <row r="19" ht="20" customHeight="1">
      <c r="A19" s="2" t="n"/>
      <c r="B19" s="3" t="n"/>
      <c r="C19" s="3" t="n"/>
      <c r="D19" s="3" t="n"/>
      <c r="E19" s="4" t="n"/>
      <c r="F19" s="4" t="inlineStr">
        <is>
          <t>大法</t>
        </is>
      </c>
      <c r="G19" s="5">
        <f>HYPERLINK("#'大法原始資料'!A78", "11507080078")</f>
        <v/>
      </c>
      <c r="H19" s="4" t="inlineStr">
        <is>
          <t>DL01166223</t>
        </is>
      </c>
      <c r="I19" s="6" t="inlineStr">
        <is>
          <t>Q</t>
        </is>
      </c>
    </row>
    <row r="20" ht="20" customHeight="1">
      <c r="A20" s="7" t="inlineStr">
        <is>
          <t>11507080074</t>
        </is>
      </c>
      <c r="B20" s="8" t="inlineStr">
        <is>
          <t>進發大藥局</t>
        </is>
      </c>
      <c r="C20" s="8" t="inlineStr"/>
      <c r="D20" s="8" t="inlineStr">
        <is>
          <t>220新北市板橋區民治街101號1F</t>
        </is>
      </c>
      <c r="E20" s="9" t="n">
        <v>1</v>
      </c>
      <c r="F20" s="9" t="inlineStr">
        <is>
          <t>大法</t>
        </is>
      </c>
      <c r="G20" s="10">
        <f>HYPERLINK("#'大法原始資料'!A74", "11507080074")</f>
        <v/>
      </c>
      <c r="H20" s="9" t="inlineStr">
        <is>
          <t>DL01166219</t>
        </is>
      </c>
      <c r="I20" s="11" t="inlineStr"/>
    </row>
    <row r="21" ht="20" customHeight="1">
      <c r="A21" s="2" t="inlineStr">
        <is>
          <t>11507080083</t>
        </is>
      </c>
      <c r="B21" s="3" t="inlineStr">
        <is>
          <t>新欣藥局</t>
        </is>
      </c>
      <c r="C21" s="3" t="inlineStr">
        <is>
          <t>02-2682-8061</t>
        </is>
      </c>
      <c r="D21" s="3" t="inlineStr">
        <is>
          <t>220新北市板橋區金門街128號</t>
        </is>
      </c>
      <c r="E21" s="4" t="n">
        <v>1</v>
      </c>
      <c r="F21" s="4" t="inlineStr">
        <is>
          <t>大法</t>
        </is>
      </c>
      <c r="G21" s="5">
        <f>HYPERLINK("#'大法原始資料'!A83", "11507080083")</f>
        <v/>
      </c>
      <c r="H21" s="4" t="inlineStr">
        <is>
          <t>DL01166228</t>
        </is>
      </c>
      <c r="I21" s="6" t="inlineStr"/>
    </row>
    <row r="22" ht="20" customHeight="1">
      <c r="A22" s="7" t="inlineStr">
        <is>
          <t>11507080059</t>
        </is>
      </c>
      <c r="B22" s="8" t="inlineStr">
        <is>
          <t>順儷長安藥局</t>
        </is>
      </c>
      <c r="C22" s="8" t="inlineStr"/>
      <c r="D22" s="8" t="inlineStr">
        <is>
          <t>220新北市板橋區長安街138巷1弄52號(1樓)</t>
        </is>
      </c>
      <c r="E22" s="9" t="n">
        <v>1</v>
      </c>
      <c r="F22" s="9" t="inlineStr">
        <is>
          <t>大法</t>
        </is>
      </c>
      <c r="G22" s="10">
        <f>HYPERLINK("#'大法原始資料'!A59", "11507080059")</f>
        <v/>
      </c>
      <c r="H22" s="9" t="inlineStr">
        <is>
          <t>DL01166204</t>
        </is>
      </c>
      <c r="I22" s="11" t="inlineStr">
        <is>
          <t>採購單號:1150706221</t>
        </is>
      </c>
    </row>
    <row r="23" ht="20" customHeight="1">
      <c r="A23" s="2" t="inlineStr">
        <is>
          <t>11507080115</t>
        </is>
      </c>
      <c r="B23" s="3" t="inlineStr">
        <is>
          <t>德和便利藥局</t>
        </is>
      </c>
      <c r="C23" s="3" t="inlineStr"/>
      <c r="D23" s="3" t="inlineStr">
        <is>
          <t>234台北市永和區得和路192號</t>
        </is>
      </c>
      <c r="E23" s="4" t="n">
        <v>1</v>
      </c>
      <c r="F23" s="4" t="inlineStr">
        <is>
          <t>大法</t>
        </is>
      </c>
      <c r="G23" s="5">
        <f>HYPERLINK("#'大法原始資料'!A115", "11507080115")</f>
        <v/>
      </c>
      <c r="H23" s="4" t="inlineStr"/>
      <c r="I23" s="6" t="inlineStr">
        <is>
          <t xml:space="preserve"> 德和（自送）</t>
        </is>
      </c>
    </row>
    <row r="24" ht="20" customHeight="1">
      <c r="A24" s="7" t="inlineStr">
        <is>
          <t>11507080066</t>
        </is>
      </c>
      <c r="B24" s="8" t="inlineStr">
        <is>
          <t>台化藥局</t>
        </is>
      </c>
      <c r="C24" s="8" t="inlineStr"/>
      <c r="D24" s="8" t="inlineStr">
        <is>
          <t>234新北巿永和區勵行街119號1樓</t>
        </is>
      </c>
      <c r="E24" s="9" t="n">
        <v>3</v>
      </c>
      <c r="F24" s="9" t="inlineStr">
        <is>
          <t>大法</t>
        </is>
      </c>
      <c r="G24" s="10">
        <f>HYPERLINK("#'大法原始資料'!A67", "11507080067")</f>
        <v/>
      </c>
      <c r="H24" s="9" t="inlineStr">
        <is>
          <t>DL01166212</t>
        </is>
      </c>
      <c r="I24" s="11" t="inlineStr"/>
    </row>
    <row r="25" ht="20" customHeight="1">
      <c r="A25" s="7" t="n"/>
      <c r="B25" s="8" t="n"/>
      <c r="C25" s="8" t="n"/>
      <c r="D25" s="8" t="n"/>
      <c r="E25" s="9" t="n"/>
      <c r="F25" s="9" t="inlineStr">
        <is>
          <t>大法</t>
        </is>
      </c>
      <c r="G25" s="10">
        <f>HYPERLINK("#'大法原始資料'!A66", "11507080066")</f>
        <v/>
      </c>
      <c r="H25" s="9" t="inlineStr">
        <is>
          <t>DL01166211</t>
        </is>
      </c>
      <c r="I25" s="11" t="inlineStr"/>
    </row>
    <row r="26" ht="20" customHeight="1">
      <c r="A26" s="7" t="n"/>
      <c r="B26" s="8" t="n"/>
      <c r="C26" s="8" t="n"/>
      <c r="D26" s="8" t="n"/>
      <c r="E26" s="9" t="n"/>
      <c r="F26" s="9" t="inlineStr">
        <is>
          <t>大法</t>
        </is>
      </c>
      <c r="G26" s="10">
        <f>HYPERLINK("#'大法原始資料'!A105", "11507080105")</f>
        <v/>
      </c>
      <c r="H26" s="9" t="inlineStr">
        <is>
          <t>DL01166251</t>
        </is>
      </c>
      <c r="I26" s="11" t="inlineStr"/>
    </row>
    <row r="27" ht="20" customHeight="1">
      <c r="A27" s="2" t="inlineStr">
        <is>
          <t>11507080023</t>
        </is>
      </c>
      <c r="B27" s="3" t="inlineStr">
        <is>
          <t>家宏藥局</t>
        </is>
      </c>
      <c r="C27" s="3" t="inlineStr"/>
      <c r="D27" s="3" t="inlineStr">
        <is>
          <t>234新北市永和區成功路二段123號</t>
        </is>
      </c>
      <c r="E27" s="4" t="n">
        <v>1</v>
      </c>
      <c r="F27" s="4" t="inlineStr">
        <is>
          <t>大法</t>
        </is>
      </c>
      <c r="G27" s="5">
        <f>HYPERLINK("#'大法原始資料'!A23", "11507080023")</f>
        <v/>
      </c>
      <c r="H27" s="4" t="inlineStr">
        <is>
          <t>DL01166168</t>
        </is>
      </c>
      <c r="I27" s="6" t="inlineStr"/>
    </row>
    <row r="28" ht="20" customHeight="1">
      <c r="A28" s="7" t="inlineStr">
        <is>
          <t>11507080075</t>
        </is>
      </c>
      <c r="B28" s="8" t="inlineStr">
        <is>
          <t>祥田藥局</t>
        </is>
      </c>
      <c r="C28" s="8" t="inlineStr"/>
      <c r="D28" s="8" t="inlineStr">
        <is>
          <t>235新北巿中和區圓通路236號</t>
        </is>
      </c>
      <c r="E28" s="9" t="n">
        <v>1</v>
      </c>
      <c r="F28" s="9" t="inlineStr">
        <is>
          <t>大法</t>
        </is>
      </c>
      <c r="G28" s="10">
        <f>HYPERLINK("#'大法原始資料'!A75", "11507080075")</f>
        <v/>
      </c>
      <c r="H28" s="9" t="inlineStr">
        <is>
          <t>DL01166220</t>
        </is>
      </c>
      <c r="I28" s="11" t="inlineStr"/>
    </row>
    <row r="29" ht="20" customHeight="1">
      <c r="A29" s="2" t="inlineStr">
        <is>
          <t>11507080106</t>
        </is>
      </c>
      <c r="B29" s="3" t="inlineStr">
        <is>
          <t>貞心藥局</t>
        </is>
      </c>
      <c r="C29" s="3" t="inlineStr"/>
      <c r="D29" s="3" t="inlineStr">
        <is>
          <t>235新北巿中和區永貞路280-1號</t>
        </is>
      </c>
      <c r="E29" s="4" t="n">
        <v>1</v>
      </c>
      <c r="F29" s="4" t="inlineStr">
        <is>
          <t>大法</t>
        </is>
      </c>
      <c r="G29" s="5">
        <f>HYPERLINK("#'大法原始資料'!A106", "11507080106")</f>
        <v/>
      </c>
      <c r="H29" s="4" t="inlineStr">
        <is>
          <t>DL01166252</t>
        </is>
      </c>
      <c r="I29" s="6" t="inlineStr"/>
    </row>
    <row r="30" ht="20" customHeight="1">
      <c r="A30" s="7" t="inlineStr">
        <is>
          <t>11507080081</t>
        </is>
      </c>
      <c r="B30" s="8" t="inlineStr">
        <is>
          <t>田邊藥局</t>
        </is>
      </c>
      <c r="C30" s="8" t="inlineStr"/>
      <c r="D30" s="8" t="inlineStr">
        <is>
          <t>235新北市中和區泰和街四十三號一樓</t>
        </is>
      </c>
      <c r="E30" s="9" t="n">
        <v>2</v>
      </c>
      <c r="F30" s="9" t="inlineStr">
        <is>
          <t>大法</t>
        </is>
      </c>
      <c r="G30" s="10">
        <f>HYPERLINK("#'大法原始資料'!A81", "11507080081")</f>
        <v/>
      </c>
      <c r="H30" s="9" t="inlineStr">
        <is>
          <t>DL01166226</t>
        </is>
      </c>
      <c r="I30" s="11" t="inlineStr"/>
    </row>
    <row r="31" ht="20" customHeight="1">
      <c r="A31" s="7" t="n"/>
      <c r="B31" s="8" t="n"/>
      <c r="C31" s="8" t="n"/>
      <c r="D31" s="8" t="n"/>
      <c r="E31" s="9" t="n"/>
      <c r="F31" s="9" t="inlineStr">
        <is>
          <t>大法</t>
        </is>
      </c>
      <c r="G31" s="10">
        <f>HYPERLINK("#'大法原始資料'!A82", "11507080082")</f>
        <v/>
      </c>
      <c r="H31" s="9" t="inlineStr">
        <is>
          <t>DL01166227</t>
        </is>
      </c>
      <c r="I31" s="11" t="inlineStr"/>
    </row>
    <row r="32" ht="20" customHeight="1">
      <c r="A32" s="2" t="inlineStr">
        <is>
          <t>11507080103</t>
        </is>
      </c>
      <c r="B32" s="3" t="inlineStr">
        <is>
          <t>立新藥局</t>
        </is>
      </c>
      <c r="C32" s="3" t="inlineStr"/>
      <c r="D32" s="3" t="inlineStr">
        <is>
          <t>236新北巿土城區光明街5號1樓</t>
        </is>
      </c>
      <c r="E32" s="4" t="n">
        <v>1</v>
      </c>
      <c r="F32" s="4" t="inlineStr">
        <is>
          <t>大法</t>
        </is>
      </c>
      <c r="G32" s="5">
        <f>HYPERLINK("#'大法原始資料'!A103", "11507080103")</f>
        <v/>
      </c>
      <c r="H32" s="4" t="inlineStr">
        <is>
          <t>DL01166249</t>
        </is>
      </c>
      <c r="I32" s="6" t="inlineStr"/>
    </row>
    <row r="33" ht="20" customHeight="1">
      <c r="A33" s="7" t="inlineStr">
        <is>
          <t>11507080058</t>
        </is>
      </c>
      <c r="B33" s="8" t="inlineStr">
        <is>
          <t>順儷藥師藥局</t>
        </is>
      </c>
      <c r="C33" s="8" t="inlineStr"/>
      <c r="D33" s="8" t="inlineStr">
        <is>
          <t>236新北巿土城區延和路16-3號</t>
        </is>
      </c>
      <c r="E33" s="9" t="n">
        <v>1</v>
      </c>
      <c r="F33" s="9" t="inlineStr">
        <is>
          <t>大法</t>
        </is>
      </c>
      <c r="G33" s="10">
        <f>HYPERLINK("#'大法原始資料'!A58", "11507080058")</f>
        <v/>
      </c>
      <c r="H33" s="9" t="inlineStr">
        <is>
          <t>DL01166203</t>
        </is>
      </c>
      <c r="I33" s="11" t="inlineStr">
        <is>
          <t>採購單號:1150706219</t>
        </is>
      </c>
    </row>
    <row r="34" ht="20" customHeight="1">
      <c r="A34" s="2" t="inlineStr">
        <is>
          <t>11507080104</t>
        </is>
      </c>
      <c r="B34" s="3" t="inlineStr">
        <is>
          <t>立新藥局</t>
        </is>
      </c>
      <c r="C34" s="3" t="inlineStr"/>
      <c r="D34" s="3" t="inlineStr">
        <is>
          <t>236新北市土城區光明街5號1樓</t>
        </is>
      </c>
      <c r="E34" s="4" t="n">
        <v>1</v>
      </c>
      <c r="F34" s="4" t="inlineStr">
        <is>
          <t>大法</t>
        </is>
      </c>
      <c r="G34" s="5">
        <f>HYPERLINK("#'大法原始資料'!A104", "11507080104")</f>
        <v/>
      </c>
      <c r="H34" s="4" t="inlineStr">
        <is>
          <t>DL01166250</t>
        </is>
      </c>
      <c r="I34" s="6" t="inlineStr"/>
    </row>
    <row r="35" ht="20" customHeight="1">
      <c r="A35" s="7" t="inlineStr">
        <is>
          <t>11507080063</t>
        </is>
      </c>
      <c r="B35" s="8" t="inlineStr">
        <is>
          <t>順儷藥師藥局</t>
        </is>
      </c>
      <c r="C35" s="8" t="inlineStr"/>
      <c r="D35" s="8" t="inlineStr">
        <is>
          <t>236新北市土城區延和路16-3號</t>
        </is>
      </c>
      <c r="E35" s="9" t="n">
        <v>1</v>
      </c>
      <c r="F35" s="9" t="inlineStr">
        <is>
          <t>大法</t>
        </is>
      </c>
      <c r="G35" s="10">
        <f>HYPERLINK("#'大法原始資料'!A63", "11507080063")</f>
        <v/>
      </c>
      <c r="H35" s="9" t="inlineStr">
        <is>
          <t>DL01166208</t>
        </is>
      </c>
      <c r="I35" s="11" t="inlineStr">
        <is>
          <t>採購單號:1150706209</t>
        </is>
      </c>
    </row>
    <row r="36" ht="20" customHeight="1">
      <c r="A36" s="2" t="inlineStr">
        <is>
          <t>11507080003</t>
        </is>
      </c>
      <c r="B36" s="3" t="inlineStr">
        <is>
          <t>祥祐藥局</t>
        </is>
      </c>
      <c r="C36" s="3" t="inlineStr"/>
      <c r="D36" s="3" t="inlineStr">
        <is>
          <t>237新北市三峽區文化路125號1F</t>
        </is>
      </c>
      <c r="E36" s="4" t="n">
        <v>2</v>
      </c>
      <c r="F36" s="4" t="inlineStr">
        <is>
          <t>大法</t>
        </is>
      </c>
      <c r="G36" s="5">
        <f>HYPERLINK("#'大法原始資料'!A16", "11507080016")</f>
        <v/>
      </c>
      <c r="H36" s="4" t="inlineStr">
        <is>
          <t>DL01166161</t>
        </is>
      </c>
      <c r="I36" s="6" t="inlineStr">
        <is>
          <t>Q</t>
        </is>
      </c>
    </row>
    <row r="37" ht="20" customHeight="1">
      <c r="A37" s="2" t="n"/>
      <c r="B37" s="3" t="n"/>
      <c r="C37" s="3" t="n"/>
      <c r="D37" s="3" t="n"/>
      <c r="E37" s="4" t="n"/>
      <c r="F37" s="4" t="inlineStr">
        <is>
          <t>拉法</t>
        </is>
      </c>
      <c r="G37" s="5">
        <f>HYPERLINK("#'拉法原始資料'!A4", "11507080003")</f>
        <v/>
      </c>
      <c r="H37" s="4" t="inlineStr">
        <is>
          <t>DM07864852</t>
        </is>
      </c>
      <c r="I37" s="6" t="inlineStr">
        <is>
          <t>Q</t>
        </is>
      </c>
    </row>
    <row r="38" ht="20" customHeight="1">
      <c r="A38" s="7" t="inlineStr">
        <is>
          <t>11507080020</t>
        </is>
      </c>
      <c r="B38" s="8" t="inlineStr">
        <is>
          <t>進安大藥局</t>
        </is>
      </c>
      <c r="C38" s="8" t="inlineStr"/>
      <c r="D38" s="8" t="inlineStr">
        <is>
          <t>237新北市三峽區民生街174號(1樓)</t>
        </is>
      </c>
      <c r="E38" s="9" t="n">
        <v>1</v>
      </c>
      <c r="F38" s="9" t="inlineStr">
        <is>
          <t>大法</t>
        </is>
      </c>
      <c r="G38" s="10">
        <f>HYPERLINK("#'大法原始資料'!A20", "11507080020")</f>
        <v/>
      </c>
      <c r="H38" s="9" t="inlineStr">
        <is>
          <t>DL01166165</t>
        </is>
      </c>
      <c r="I38" s="11" t="inlineStr">
        <is>
          <t>Q</t>
        </is>
      </c>
    </row>
    <row r="39" ht="20" customHeight="1">
      <c r="A39" s="2" t="inlineStr">
        <is>
          <t>11507080030</t>
        </is>
      </c>
      <c r="B39" s="3" t="inlineStr">
        <is>
          <t>圓滿堂藥局</t>
        </is>
      </c>
      <c r="C39" s="3" t="inlineStr"/>
      <c r="D39" s="3" t="inlineStr">
        <is>
          <t>260宜蘭市中山路48號</t>
        </is>
      </c>
      <c r="E39" s="4" t="n">
        <v>2</v>
      </c>
      <c r="F39" s="4" t="inlineStr">
        <is>
          <t>大法</t>
        </is>
      </c>
      <c r="G39" s="5">
        <f>HYPERLINK("#'大法原始資料'!A30", "11507080030")</f>
        <v/>
      </c>
      <c r="H39" s="4" t="inlineStr">
        <is>
          <t>DL01166175</t>
        </is>
      </c>
      <c r="I39" s="6" t="inlineStr"/>
    </row>
    <row r="40" ht="20" customHeight="1">
      <c r="A40" s="2" t="n"/>
      <c r="B40" s="3" t="n"/>
      <c r="C40" s="3" t="n"/>
      <c r="D40" s="3" t="n"/>
      <c r="E40" s="4" t="n"/>
      <c r="F40" s="4" t="inlineStr">
        <is>
          <t>大法</t>
        </is>
      </c>
      <c r="G40" s="5">
        <f>HYPERLINK("#'大法原始資料'!A31", "11507080031")</f>
        <v/>
      </c>
      <c r="H40" s="4" t="inlineStr">
        <is>
          <t>DL01166176</t>
        </is>
      </c>
      <c r="I40" s="6" t="inlineStr"/>
    </row>
    <row r="41" ht="20" customHeight="1">
      <c r="A41" s="7" t="inlineStr">
        <is>
          <t>11507080019</t>
        </is>
      </c>
      <c r="B41" s="8" t="inlineStr">
        <is>
          <t>文化藥師藥局</t>
        </is>
      </c>
      <c r="C41" s="8" t="inlineStr"/>
      <c r="D41" s="8" t="inlineStr">
        <is>
          <t>260宜蘭市復興路1段131號</t>
        </is>
      </c>
      <c r="E41" s="9" t="n">
        <v>1</v>
      </c>
      <c r="F41" s="9" t="inlineStr">
        <is>
          <t>大法</t>
        </is>
      </c>
      <c r="G41" s="10">
        <f>HYPERLINK("#'大法原始資料'!A19", "11507080019")</f>
        <v/>
      </c>
      <c r="H41" s="9" t="inlineStr">
        <is>
          <t>DL01166164</t>
        </is>
      </c>
      <c r="I41" s="11" t="inlineStr"/>
    </row>
    <row r="42" ht="20" customHeight="1">
      <c r="A42" s="2" t="inlineStr">
        <is>
          <t>11507080018</t>
        </is>
      </c>
      <c r="B42" s="3" t="inlineStr">
        <is>
          <t>文化藥師藥局</t>
        </is>
      </c>
      <c r="C42" s="3" t="inlineStr"/>
      <c r="D42" s="3" t="inlineStr">
        <is>
          <t>260宜蘭市復興路一段131號</t>
        </is>
      </c>
      <c r="E42" s="4" t="n">
        <v>1</v>
      </c>
      <c r="F42" s="4" t="inlineStr">
        <is>
          <t>大法</t>
        </is>
      </c>
      <c r="G42" s="5">
        <f>HYPERLINK("#'大法原始資料'!A18", "11507080018")</f>
        <v/>
      </c>
      <c r="H42" s="4" t="inlineStr">
        <is>
          <t>DL01166163</t>
        </is>
      </c>
      <c r="I42" s="6" t="inlineStr"/>
    </row>
    <row r="43" ht="20" customHeight="1">
      <c r="A43" s="7" t="inlineStr">
        <is>
          <t>11507080099</t>
        </is>
      </c>
      <c r="B43" s="8" t="inlineStr">
        <is>
          <t>宜生藥局</t>
        </is>
      </c>
      <c r="C43" s="8" t="inlineStr"/>
      <c r="D43" s="8" t="inlineStr">
        <is>
          <t>260宜蘭市新民路111號</t>
        </is>
      </c>
      <c r="E43" s="9" t="n">
        <v>2</v>
      </c>
      <c r="F43" s="9" t="inlineStr">
        <is>
          <t>大法</t>
        </is>
      </c>
      <c r="G43" s="10">
        <f>HYPERLINK("#'大法原始資料'!A99", "11507080099")</f>
        <v/>
      </c>
      <c r="H43" s="9" t="inlineStr">
        <is>
          <t>DL01166245</t>
        </is>
      </c>
      <c r="I43" s="11" t="inlineStr"/>
    </row>
    <row r="44" ht="20" customHeight="1">
      <c r="A44" s="7" t="n"/>
      <c r="B44" s="8" t="n"/>
      <c r="C44" s="8" t="n"/>
      <c r="D44" s="8" t="n"/>
      <c r="E44" s="9" t="n"/>
      <c r="F44" s="9" t="inlineStr">
        <is>
          <t>大法</t>
        </is>
      </c>
      <c r="G44" s="10">
        <f>HYPERLINK("#'大法原始資料'!A100", "11507080100")</f>
        <v/>
      </c>
      <c r="H44" s="9" t="inlineStr">
        <is>
          <t>DL01166246</t>
        </is>
      </c>
      <c r="I44" s="11" t="inlineStr"/>
    </row>
    <row r="45" ht="20" customHeight="1">
      <c r="A45" s="2" t="inlineStr">
        <is>
          <t>11507080096</t>
        </is>
      </c>
      <c r="B45" s="3" t="inlineStr">
        <is>
          <t>泰山藥局</t>
        </is>
      </c>
      <c r="C45" s="3" t="inlineStr">
        <is>
          <t>03-933-4428</t>
        </is>
      </c>
      <c r="D45" s="3" t="inlineStr">
        <is>
          <t>260宜蘭市泰山路415號1樓</t>
        </is>
      </c>
      <c r="E45" s="4" t="n">
        <v>3</v>
      </c>
      <c r="F45" s="4" t="inlineStr">
        <is>
          <t>大法</t>
        </is>
      </c>
      <c r="G45" s="5">
        <f>HYPERLINK("#'大法原始資料'!A96", "11507080096")</f>
        <v/>
      </c>
      <c r="H45" s="4" t="inlineStr">
        <is>
          <t>DL01166241</t>
        </is>
      </c>
      <c r="I45" s="6" t="inlineStr">
        <is>
          <t>Q</t>
        </is>
      </c>
    </row>
    <row r="46" ht="20" customHeight="1">
      <c r="A46" s="2" t="n"/>
      <c r="B46" s="3" t="n"/>
      <c r="C46" s="3" t="n"/>
      <c r="D46" s="3" t="n"/>
      <c r="E46" s="4" t="n"/>
      <c r="F46" s="4" t="inlineStr">
        <is>
          <t>大法</t>
        </is>
      </c>
      <c r="G46" s="5">
        <f>HYPERLINK("#'大法原始資料'!A97", "11507080097")</f>
        <v/>
      </c>
      <c r="H46" s="4" t="inlineStr">
        <is>
          <t>DL01166242</t>
        </is>
      </c>
      <c r="I46" s="6" t="inlineStr">
        <is>
          <t>Q</t>
        </is>
      </c>
    </row>
    <row r="47" ht="20" customHeight="1">
      <c r="A47" s="2" t="n"/>
      <c r="B47" s="3" t="n"/>
      <c r="C47" s="3" t="n"/>
      <c r="D47" s="3" t="n"/>
      <c r="E47" s="4" t="n"/>
      <c r="F47" s="4" t="inlineStr">
        <is>
          <t>大法</t>
        </is>
      </c>
      <c r="G47" s="5">
        <f>HYPERLINK("#'大法原始資料'!A98", "11507080098")</f>
        <v/>
      </c>
      <c r="H47" s="4" t="inlineStr">
        <is>
          <t>DL01166243</t>
        </is>
      </c>
      <c r="I47" s="6" t="inlineStr">
        <is>
          <t>Q</t>
        </is>
      </c>
    </row>
    <row r="48" ht="20" customHeight="1">
      <c r="A48" s="7" t="inlineStr">
        <is>
          <t>11507080095</t>
        </is>
      </c>
      <c r="B48" s="8" t="inlineStr">
        <is>
          <t>富康新民藥局</t>
        </is>
      </c>
      <c r="C48" s="8" t="inlineStr">
        <is>
          <t>03-9366060</t>
        </is>
      </c>
      <c r="D48" s="8" t="inlineStr">
        <is>
          <t>260宜蘭縣宜蘭市新民路113號</t>
        </is>
      </c>
      <c r="E48" s="9" t="n">
        <v>1</v>
      </c>
      <c r="F48" s="9" t="inlineStr">
        <is>
          <t>大法</t>
        </is>
      </c>
      <c r="G48" s="10">
        <f>HYPERLINK("#'大法原始資料'!A95", "11507080095")</f>
        <v/>
      </c>
      <c r="H48" s="9" t="inlineStr">
        <is>
          <t>DL01166240</t>
        </is>
      </c>
      <c r="I48" s="11" t="inlineStr"/>
    </row>
    <row r="49" ht="20" customHeight="1">
      <c r="A49" s="2" t="inlineStr">
        <is>
          <t>11507080027</t>
        </is>
      </c>
      <c r="B49" s="3" t="inlineStr">
        <is>
          <t>樂樂藥局</t>
        </is>
      </c>
      <c r="C49" s="3" t="inlineStr">
        <is>
          <t>03-955-7268</t>
        </is>
      </c>
      <c r="D49" s="3" t="inlineStr">
        <is>
          <t>265宜蘭縣羅東鎮中正南路61號</t>
        </is>
      </c>
      <c r="E49" s="4" t="n">
        <v>2</v>
      </c>
      <c r="F49" s="4" t="inlineStr">
        <is>
          <t>大法</t>
        </is>
      </c>
      <c r="G49" s="5">
        <f>HYPERLINK("#'大法原始資料'!A28", "11507080028")</f>
        <v/>
      </c>
      <c r="H49" s="4" t="inlineStr">
        <is>
          <t>DL01166173</t>
        </is>
      </c>
      <c r="I49" s="6" t="inlineStr"/>
    </row>
    <row r="50" ht="20" customHeight="1">
      <c r="A50" s="2" t="n"/>
      <c r="B50" s="3" t="n"/>
      <c r="C50" s="3" t="n"/>
      <c r="D50" s="3" t="n"/>
      <c r="E50" s="4" t="n"/>
      <c r="F50" s="4" t="inlineStr">
        <is>
          <t>大法</t>
        </is>
      </c>
      <c r="G50" s="5">
        <f>HYPERLINK("#'大法原始資料'!A27", "11507080027")</f>
        <v/>
      </c>
      <c r="H50" s="4" t="inlineStr">
        <is>
          <t>DL01166172</t>
        </is>
      </c>
      <c r="I50" s="6" t="inlineStr"/>
    </row>
    <row r="51" ht="20" customHeight="1">
      <c r="A51" s="7" t="inlineStr">
        <is>
          <t>11507080030</t>
        </is>
      </c>
      <c r="B51" s="8" t="inlineStr">
        <is>
          <t>荷寧藥局</t>
        </is>
      </c>
      <c r="C51" s="8" t="inlineStr">
        <is>
          <t>03-533-8890</t>
        </is>
      </c>
      <c r="D51" s="8" t="inlineStr">
        <is>
          <t>300新竹市北區武陵路141號1樓</t>
        </is>
      </c>
      <c r="E51" s="9" t="n">
        <v>2</v>
      </c>
      <c r="F51" s="9" t="inlineStr">
        <is>
          <t>大法</t>
        </is>
      </c>
      <c r="G51" s="10">
        <f>HYPERLINK("#'大法原始資料'!A85", "11507080085")</f>
        <v/>
      </c>
      <c r="H51" s="9" t="inlineStr">
        <is>
          <t>DL01166230</t>
        </is>
      </c>
      <c r="I51" s="11" t="inlineStr">
        <is>
          <t>Q</t>
        </is>
      </c>
    </row>
    <row r="52" ht="20" customHeight="1">
      <c r="A52" s="7" t="n"/>
      <c r="B52" s="8" t="n"/>
      <c r="C52" s="8" t="n"/>
      <c r="D52" s="8" t="n"/>
      <c r="E52" s="9" t="n"/>
      <c r="F52" s="9" t="inlineStr">
        <is>
          <t>拉法</t>
        </is>
      </c>
      <c r="G52" s="10">
        <f>HYPERLINK("#'拉法原始資料'!A31", "11507080030")</f>
        <v/>
      </c>
      <c r="H52" s="9" t="inlineStr">
        <is>
          <t>DM07864879</t>
        </is>
      </c>
      <c r="I52" s="11" t="inlineStr">
        <is>
          <t>Q</t>
        </is>
      </c>
    </row>
    <row r="53" ht="20" customHeight="1">
      <c r="A53" s="2" t="inlineStr">
        <is>
          <t>11507080025</t>
        </is>
      </c>
      <c r="B53" s="3" t="inlineStr">
        <is>
          <t>真善美連鎖-証云有限公司</t>
        </is>
      </c>
      <c r="C53" s="3" t="inlineStr"/>
      <c r="D53" s="3" t="inlineStr">
        <is>
          <t>303新竹縣湖口鄉瑞祥街41號2F</t>
        </is>
      </c>
      <c r="E53" s="4" t="n">
        <v>2</v>
      </c>
      <c r="F53" s="4" t="inlineStr">
        <is>
          <t>大法</t>
        </is>
      </c>
      <c r="G53" s="5">
        <f>HYPERLINK("#'大法原始資料'!A26", "11507080026")</f>
        <v/>
      </c>
      <c r="H53" s="4" t="inlineStr">
        <is>
          <t>DL01166171</t>
        </is>
      </c>
      <c r="I53" s="6" t="inlineStr"/>
    </row>
    <row r="54" ht="20" customHeight="1">
      <c r="A54" s="2" t="n"/>
      <c r="B54" s="3" t="n"/>
      <c r="C54" s="3" t="n"/>
      <c r="D54" s="3" t="n"/>
      <c r="E54" s="4" t="n"/>
      <c r="F54" s="4" t="inlineStr">
        <is>
          <t>大法</t>
        </is>
      </c>
      <c r="G54" s="5">
        <f>HYPERLINK("#'大法原始資料'!A25", "11507080025")</f>
        <v/>
      </c>
      <c r="H54" s="4" t="inlineStr">
        <is>
          <t>DL01166170</t>
        </is>
      </c>
      <c r="I54" s="6" t="inlineStr"/>
    </row>
    <row r="55" ht="20" customHeight="1">
      <c r="A55" s="7" t="inlineStr">
        <is>
          <t>11507080015</t>
        </is>
      </c>
      <c r="B55" s="8" t="inlineStr">
        <is>
          <t>譽達藥局</t>
        </is>
      </c>
      <c r="C55" s="8" t="inlineStr"/>
      <c r="D55" s="8" t="inlineStr">
        <is>
          <t>324桃園巿平鎮區育達路240號１樓</t>
        </is>
      </c>
      <c r="E55" s="9" t="n">
        <v>1</v>
      </c>
      <c r="F55" s="9" t="inlineStr">
        <is>
          <t>大法</t>
        </is>
      </c>
      <c r="G55" s="10">
        <f>HYPERLINK("#'大法原始資料'!A15", "11507080015")</f>
        <v/>
      </c>
      <c r="H55" s="9" t="inlineStr">
        <is>
          <t>DL01165355</t>
        </is>
      </c>
      <c r="I55" s="11" t="inlineStr">
        <is>
          <t>譽達 （請開2聯式發票）</t>
        </is>
      </c>
    </row>
    <row r="56" ht="20" customHeight="1">
      <c r="A56" s="2" t="inlineStr">
        <is>
          <t>11507080101</t>
        </is>
      </c>
      <c r="B56" s="3" t="inlineStr">
        <is>
          <t>新禾醫藥有限公司</t>
        </is>
      </c>
      <c r="C56" s="3" t="inlineStr">
        <is>
          <t>03-366-1330</t>
        </is>
      </c>
      <c r="D56" s="3" t="inlineStr">
        <is>
          <t>330桃園市桃園區福安里建華三街3號1樓</t>
        </is>
      </c>
      <c r="E56" s="4" t="n">
        <v>2</v>
      </c>
      <c r="F56" s="4" t="inlineStr">
        <is>
          <t>大法</t>
        </is>
      </c>
      <c r="G56" s="5">
        <f>HYPERLINK("#'大法原始資料'!A102", "11507080102")</f>
        <v/>
      </c>
      <c r="H56" s="4" t="inlineStr">
        <is>
          <t>DL01166248</t>
        </is>
      </c>
      <c r="I56" s="6" t="inlineStr"/>
    </row>
    <row r="57" ht="20" customHeight="1">
      <c r="A57" s="2" t="n"/>
      <c r="B57" s="3" t="n"/>
      <c r="C57" s="3" t="n"/>
      <c r="D57" s="3" t="n"/>
      <c r="E57" s="4" t="n"/>
      <c r="F57" s="4" t="inlineStr">
        <is>
          <t>大法</t>
        </is>
      </c>
      <c r="G57" s="5">
        <f>HYPERLINK("#'大法原始資料'!A101", "11507080101")</f>
        <v/>
      </c>
      <c r="H57" s="4" t="inlineStr">
        <is>
          <t>DL01166247</t>
        </is>
      </c>
      <c r="I57" s="6" t="inlineStr"/>
    </row>
    <row r="58" ht="20" customHeight="1">
      <c r="A58" s="7" t="inlineStr">
        <is>
          <t>11507080061</t>
        </is>
      </c>
      <c r="B58" s="8" t="inlineStr">
        <is>
          <t>順儷健康事業股份有限公司環球A8門市</t>
        </is>
      </c>
      <c r="C58" s="8" t="inlineStr"/>
      <c r="D58" s="8" t="inlineStr">
        <is>
          <t>333桃園市龜山區復興一路8號</t>
        </is>
      </c>
      <c r="E58" s="9" t="n">
        <v>2</v>
      </c>
      <c r="F58" s="9" t="inlineStr">
        <is>
          <t>大法</t>
        </is>
      </c>
      <c r="G58" s="10">
        <f>HYPERLINK("#'大法原始資料'!A61", "11507080061")</f>
        <v/>
      </c>
      <c r="H58" s="9" t="inlineStr">
        <is>
          <t>DL01166206</t>
        </is>
      </c>
      <c r="I58" s="11" t="inlineStr">
        <is>
          <t>採購單號:1150706223</t>
        </is>
      </c>
    </row>
    <row r="59" ht="20" customHeight="1">
      <c r="A59" s="7" t="n"/>
      <c r="B59" s="8" t="n"/>
      <c r="C59" s="8" t="n"/>
      <c r="D59" s="8" t="n"/>
      <c r="E59" s="9" t="n"/>
      <c r="F59" s="9" t="inlineStr">
        <is>
          <t>大法</t>
        </is>
      </c>
      <c r="G59" s="10">
        <f>HYPERLINK("#'大法原始資料'!A64", "11507080064")</f>
        <v/>
      </c>
      <c r="H59" s="9" t="inlineStr">
        <is>
          <t>DL01166209</t>
        </is>
      </c>
      <c r="I59" s="11" t="inlineStr">
        <is>
          <t>採購單號:1150706212</t>
        </is>
      </c>
    </row>
    <row r="60" ht="20" customHeight="1">
      <c r="A60" s="2" t="inlineStr">
        <is>
          <t>11507080005</t>
        </is>
      </c>
      <c r="B60" s="3" t="inlineStr">
        <is>
          <t>家佑藥師藥局</t>
        </is>
      </c>
      <c r="C60" s="3" t="inlineStr">
        <is>
          <t>03-328-0055</t>
        </is>
      </c>
      <c r="D60" s="3" t="inlineStr">
        <is>
          <t>333桃園縣龜山鄉文化二路30-1號</t>
        </is>
      </c>
      <c r="E60" s="4" t="n">
        <v>3</v>
      </c>
      <c r="F60" s="4" t="inlineStr">
        <is>
          <t>拉法</t>
        </is>
      </c>
      <c r="G60" s="5">
        <f>HYPERLINK("#'拉法原始資料'!A6", "11507080005")</f>
        <v/>
      </c>
      <c r="H60" s="4" t="inlineStr">
        <is>
          <t>DM07864854</t>
        </is>
      </c>
      <c r="I60" s="6" t="inlineStr">
        <is>
          <t>Q</t>
        </is>
      </c>
    </row>
    <row r="61" ht="20" customHeight="1">
      <c r="A61" s="2" t="n"/>
      <c r="B61" s="3" t="n"/>
      <c r="C61" s="3" t="n"/>
      <c r="D61" s="3" t="n"/>
      <c r="E61" s="4" t="n"/>
      <c r="F61" s="4" t="inlineStr">
        <is>
          <t>大法</t>
        </is>
      </c>
      <c r="G61" s="5">
        <f>HYPERLINK("#'大法原始資料'!A21", "11507080021")</f>
        <v/>
      </c>
      <c r="H61" s="4" t="inlineStr">
        <is>
          <t>DL01166166</t>
        </is>
      </c>
      <c r="I61" s="6" t="inlineStr">
        <is>
          <t>Q</t>
        </is>
      </c>
    </row>
    <row r="62" ht="20" customHeight="1">
      <c r="A62" s="2" t="n"/>
      <c r="B62" s="3" t="n"/>
      <c r="C62" s="3" t="n"/>
      <c r="D62" s="3" t="n"/>
      <c r="E62" s="4" t="n"/>
      <c r="F62" s="4" t="inlineStr">
        <is>
          <t>大法</t>
        </is>
      </c>
      <c r="G62" s="5">
        <f>HYPERLINK("#'大法原始資料'!A22", "11507080022")</f>
        <v/>
      </c>
      <c r="H62" s="4" t="inlineStr">
        <is>
          <t>DL01166167</t>
        </is>
      </c>
      <c r="I62" s="6" t="inlineStr">
        <is>
          <t>Q</t>
        </is>
      </c>
    </row>
    <row r="63" ht="20" customHeight="1">
      <c r="A63" s="7" t="inlineStr">
        <is>
          <t>11507080089</t>
        </is>
      </c>
      <c r="B63" s="8" t="inlineStr">
        <is>
          <t>宜安藥師藥局</t>
        </is>
      </c>
      <c r="C63" s="8" t="inlineStr">
        <is>
          <t>03-384-2639</t>
        </is>
      </c>
      <c r="D63" s="8" t="inlineStr">
        <is>
          <t>337桃園巿大園區中山南路40號1樓</t>
        </is>
      </c>
      <c r="E63" s="9" t="n">
        <v>1</v>
      </c>
      <c r="F63" s="9" t="inlineStr">
        <is>
          <t>大法</t>
        </is>
      </c>
      <c r="G63" s="10">
        <f>HYPERLINK("#'大法原始資料'!A89", "11507080089")</f>
        <v/>
      </c>
      <c r="H63" s="9" t="inlineStr">
        <is>
          <t>DL01166234</t>
        </is>
      </c>
      <c r="I63" s="11" t="inlineStr">
        <is>
          <t>Q</t>
        </is>
      </c>
    </row>
    <row r="64" ht="20" customHeight="1">
      <c r="A64" s="2" t="inlineStr">
        <is>
          <t>11507080003</t>
        </is>
      </c>
      <c r="B64" s="3" t="inlineStr">
        <is>
          <t>九德藥局</t>
        </is>
      </c>
      <c r="C64" s="3" t="inlineStr"/>
      <c r="D64" s="3" t="inlineStr">
        <is>
          <t>338桃園巿蘆竹區中山路69號</t>
        </is>
      </c>
      <c r="E64" s="4" t="n">
        <v>1</v>
      </c>
      <c r="F64" s="4" t="inlineStr">
        <is>
          <t>大法</t>
        </is>
      </c>
      <c r="G64" s="5">
        <f>HYPERLINK("#'大法原始資料'!A4", "11507080003")</f>
        <v/>
      </c>
      <c r="H64" s="4" t="inlineStr">
        <is>
          <t>DL01166150</t>
        </is>
      </c>
      <c r="I64" s="6" t="inlineStr"/>
    </row>
    <row r="65" ht="20" customHeight="1">
      <c r="A65" s="7" t="inlineStr">
        <is>
          <t>11507080093</t>
        </is>
      </c>
      <c r="B65" s="8" t="inlineStr">
        <is>
          <t>青育藥局</t>
        </is>
      </c>
      <c r="C65" s="8" t="inlineStr">
        <is>
          <t>04-2461-5628</t>
        </is>
      </c>
      <c r="D65" s="8" t="inlineStr">
        <is>
          <t>407台中巿西屯區河南路二段332號</t>
        </is>
      </c>
      <c r="E65" s="9" t="n">
        <v>2</v>
      </c>
      <c r="F65" s="9" t="inlineStr">
        <is>
          <t>大法</t>
        </is>
      </c>
      <c r="G65" s="10">
        <f>HYPERLINK("#'大法原始資料'!A94", "11507080094")</f>
        <v/>
      </c>
      <c r="H65" s="9" t="inlineStr">
        <is>
          <t>DL01166239</t>
        </is>
      </c>
      <c r="I65" s="11" t="inlineStr"/>
    </row>
    <row r="66" ht="20" customHeight="1">
      <c r="A66" s="7" t="n"/>
      <c r="B66" s="8" t="n"/>
      <c r="C66" s="8" t="n"/>
      <c r="D66" s="8" t="n"/>
      <c r="E66" s="9" t="n"/>
      <c r="F66" s="9" t="inlineStr">
        <is>
          <t>大法</t>
        </is>
      </c>
      <c r="G66" s="10">
        <f>HYPERLINK("#'大法原始資料'!A93", "11507080093")</f>
        <v/>
      </c>
      <c r="H66" s="9" t="inlineStr">
        <is>
          <t>DL01166238</t>
        </is>
      </c>
      <c r="I66" s="11" t="inlineStr"/>
    </row>
    <row r="67" ht="20" customHeight="1">
      <c r="A67" s="2" t="inlineStr">
        <is>
          <t>11507080090</t>
        </is>
      </c>
      <c r="B67" s="3" t="inlineStr">
        <is>
          <t>安德生物科技股份有限公司</t>
        </is>
      </c>
      <c r="C67" s="3" t="inlineStr"/>
      <c r="D67" s="3" t="inlineStr">
        <is>
          <t>407台中巿西屯區玉門路50巷5-1號</t>
        </is>
      </c>
      <c r="E67" s="4" t="n">
        <v>3</v>
      </c>
      <c r="F67" s="4" t="inlineStr">
        <is>
          <t>大法</t>
        </is>
      </c>
      <c r="G67" s="5">
        <f>HYPERLINK("#'大法原始資料'!A113", "11507080113")</f>
        <v/>
      </c>
      <c r="H67" s="4" t="inlineStr">
        <is>
          <t>DL01166259</t>
        </is>
      </c>
      <c r="I67" s="6" t="inlineStr">
        <is>
          <t>安德（追加）</t>
        </is>
      </c>
    </row>
    <row r="68" ht="20" customHeight="1">
      <c r="A68" s="2" t="n"/>
      <c r="B68" s="3" t="n"/>
      <c r="C68" s="3" t="n"/>
      <c r="D68" s="3" t="n"/>
      <c r="E68" s="4" t="n"/>
      <c r="F68" s="4" t="inlineStr">
        <is>
          <t>大法</t>
        </is>
      </c>
      <c r="G68" s="5">
        <f>HYPERLINK("#'大法原始資料'!A112", "11507080112")</f>
        <v/>
      </c>
      <c r="H68" s="4" t="inlineStr">
        <is>
          <t>DL01166258</t>
        </is>
      </c>
      <c r="I68" s="6" t="inlineStr">
        <is>
          <t>安德（追加）</t>
        </is>
      </c>
    </row>
    <row r="69" ht="20" customHeight="1">
      <c r="A69" s="2" t="n"/>
      <c r="B69" s="3" t="n"/>
      <c r="C69" s="3" t="n"/>
      <c r="D69" s="3" t="n"/>
      <c r="E69" s="4" t="n"/>
      <c r="F69" s="4" t="inlineStr">
        <is>
          <t>大法</t>
        </is>
      </c>
      <c r="G69" s="5">
        <f>HYPERLINK("#'大法原始資料'!A90", "11507080090")</f>
        <v/>
      </c>
      <c r="H69" s="4" t="inlineStr">
        <is>
          <t>DL01166235</t>
        </is>
      </c>
      <c r="I69" s="6" t="inlineStr"/>
    </row>
    <row r="70" ht="20" customHeight="1">
      <c r="A70" s="7" t="inlineStr">
        <is>
          <t>11507080007</t>
        </is>
      </c>
      <c r="B70" s="8" t="inlineStr">
        <is>
          <t>元興藥局</t>
        </is>
      </c>
      <c r="C70" s="8" t="inlineStr"/>
      <c r="D70" s="8" t="inlineStr">
        <is>
          <t>413台中市霧峰區中正路970號</t>
        </is>
      </c>
      <c r="E70" s="9" t="n">
        <v>1</v>
      </c>
      <c r="F70" s="9" t="inlineStr">
        <is>
          <t>大法</t>
        </is>
      </c>
      <c r="G70" s="10">
        <f>HYPERLINK("#'大法原始資料'!A7", "11507080007")</f>
        <v/>
      </c>
      <c r="H70" s="9" t="inlineStr">
        <is>
          <t>DL01166154</t>
        </is>
      </c>
      <c r="I70" s="11" t="inlineStr"/>
    </row>
    <row r="71" ht="20" customHeight="1">
      <c r="A71" s="2" t="inlineStr">
        <is>
          <t>11507080025</t>
        </is>
      </c>
      <c r="B71" s="3" t="inlineStr">
        <is>
          <t>烏日福倫藥局</t>
        </is>
      </c>
      <c r="C71" s="3" t="inlineStr"/>
      <c r="D71" s="3" t="inlineStr">
        <is>
          <t>414台中市烏日區中山路二段112號</t>
        </is>
      </c>
      <c r="E71" s="4" t="n">
        <v>2</v>
      </c>
      <c r="F71" s="4" t="inlineStr">
        <is>
          <t>拉法</t>
        </is>
      </c>
      <c r="G71" s="5">
        <f>HYPERLINK("#'拉法原始資料'!A26", "11507080025")</f>
        <v/>
      </c>
      <c r="H71" s="4" t="inlineStr">
        <is>
          <t>DM07864874</t>
        </is>
      </c>
      <c r="I71" s="6" t="inlineStr">
        <is>
          <t>Q</t>
        </is>
      </c>
    </row>
    <row r="72" ht="20" customHeight="1">
      <c r="A72" s="2" t="n"/>
      <c r="B72" s="3" t="n"/>
      <c r="C72" s="3" t="n"/>
      <c r="D72" s="3" t="n"/>
      <c r="E72" s="4" t="n"/>
      <c r="F72" s="4" t="inlineStr">
        <is>
          <t>大法</t>
        </is>
      </c>
      <c r="G72" s="5">
        <f>HYPERLINK("#'大法原始資料'!A53", "11507080053")</f>
        <v/>
      </c>
      <c r="H72" s="4" t="inlineStr">
        <is>
          <t>DL01166198</t>
        </is>
      </c>
      <c r="I72" s="6" t="inlineStr">
        <is>
          <t>Q</t>
        </is>
      </c>
    </row>
    <row r="73" ht="20" customHeight="1">
      <c r="A73" s="7" t="inlineStr">
        <is>
          <t>11507080005</t>
        </is>
      </c>
      <c r="B73" s="8" t="inlineStr">
        <is>
          <t>真安大藥局</t>
        </is>
      </c>
      <c r="C73" s="8" t="inlineStr"/>
      <c r="D73" s="8" t="inlineStr">
        <is>
          <t>414台中市烏日區仁德村興祥街3號</t>
        </is>
      </c>
      <c r="E73" s="9" t="n">
        <v>1</v>
      </c>
      <c r="F73" s="9" t="inlineStr">
        <is>
          <t>大法</t>
        </is>
      </c>
      <c r="G73" s="10">
        <f>HYPERLINK("#'大法原始資料'!A5", "11507080005")</f>
        <v/>
      </c>
      <c r="H73" s="9" t="inlineStr">
        <is>
          <t>DL01166152</t>
        </is>
      </c>
      <c r="I73" s="11" t="inlineStr"/>
    </row>
    <row r="74" ht="20" customHeight="1">
      <c r="A74" s="2" t="inlineStr">
        <is>
          <t>11507080010</t>
        </is>
      </c>
      <c r="B74" s="3" t="inlineStr">
        <is>
          <t>心美日藥局</t>
        </is>
      </c>
      <c r="C74" s="3" t="inlineStr"/>
      <c r="D74" s="3" t="inlineStr">
        <is>
          <t>420台中市豐原區中山路357號2樓</t>
        </is>
      </c>
      <c r="E74" s="4" t="n">
        <v>3</v>
      </c>
      <c r="F74" s="4" t="inlineStr">
        <is>
          <t>大法</t>
        </is>
      </c>
      <c r="G74" s="5">
        <f>HYPERLINK("#'大法原始資料'!A10", "11507080010")</f>
        <v/>
      </c>
      <c r="H74" s="4" t="inlineStr">
        <is>
          <t>DL01166157</t>
        </is>
      </c>
      <c r="I74" s="6" t="inlineStr"/>
    </row>
    <row r="75" ht="20" customHeight="1">
      <c r="A75" s="2" t="n"/>
      <c r="B75" s="3" t="n"/>
      <c r="C75" s="3" t="n"/>
      <c r="D75" s="3" t="n"/>
      <c r="E75" s="4" t="n"/>
      <c r="F75" s="4" t="inlineStr">
        <is>
          <t>大法</t>
        </is>
      </c>
      <c r="G75" s="5">
        <f>HYPERLINK("#'大法原始資料'!A92", "11507080092")</f>
        <v/>
      </c>
      <c r="H75" s="4" t="inlineStr">
        <is>
          <t>DL01166237</t>
        </is>
      </c>
      <c r="I75" s="6" t="inlineStr"/>
    </row>
    <row r="76" ht="20" customHeight="1">
      <c r="A76" s="2" t="n"/>
      <c r="B76" s="3" t="n"/>
      <c r="C76" s="3" t="n"/>
      <c r="D76" s="3" t="n"/>
      <c r="E76" s="4" t="n"/>
      <c r="F76" s="4" t="inlineStr">
        <is>
          <t>大法</t>
        </is>
      </c>
      <c r="G76" s="5">
        <f>HYPERLINK("#'大法原始資料'!A91", "11507080091")</f>
        <v/>
      </c>
      <c r="H76" s="4" t="inlineStr">
        <is>
          <t>DL01166236</t>
        </is>
      </c>
      <c r="I76" s="6" t="inlineStr"/>
    </row>
    <row r="77" ht="20" customHeight="1">
      <c r="A77" s="7" t="inlineStr">
        <is>
          <t>11507080051</t>
        </is>
      </c>
      <c r="B77" s="8" t="inlineStr">
        <is>
          <t>頭張藥局</t>
        </is>
      </c>
      <c r="C77" s="8" t="inlineStr"/>
      <c r="D77" s="8" t="inlineStr">
        <is>
          <t>427台中市潭子區頭張路一段108號</t>
        </is>
      </c>
      <c r="E77" s="9" t="n">
        <v>1</v>
      </c>
      <c r="F77" s="9" t="inlineStr">
        <is>
          <t>大法</t>
        </is>
      </c>
      <c r="G77" s="10">
        <f>HYPERLINK("#'大法原始資料'!A51", "11507080051")</f>
        <v/>
      </c>
      <c r="H77" s="9" t="inlineStr">
        <is>
          <t>DL01166196</t>
        </is>
      </c>
      <c r="I77" s="11" t="inlineStr">
        <is>
          <t>Q</t>
        </is>
      </c>
    </row>
    <row r="78" ht="20" customHeight="1">
      <c r="A78" s="2" t="inlineStr">
        <is>
          <t>11507080006</t>
        </is>
      </c>
      <c r="B78" s="3" t="inlineStr">
        <is>
          <t>大甲福倫藥局</t>
        </is>
      </c>
      <c r="C78" s="3" t="inlineStr"/>
      <c r="D78" s="3" t="inlineStr">
        <is>
          <t>437台中市大甲區蔣公路202號</t>
        </is>
      </c>
      <c r="E78" s="4" t="n">
        <v>1</v>
      </c>
      <c r="F78" s="4" t="inlineStr">
        <is>
          <t>大法</t>
        </is>
      </c>
      <c r="G78" s="5">
        <f>HYPERLINK("#'大法原始資料'!A6", "11507080006")</f>
        <v/>
      </c>
      <c r="H78" s="4" t="inlineStr">
        <is>
          <t>DL01166153</t>
        </is>
      </c>
      <c r="I78" s="6" t="inlineStr"/>
    </row>
    <row r="79" ht="20" customHeight="1">
      <c r="A79" s="7" t="inlineStr">
        <is>
          <t>11507080008</t>
        </is>
      </c>
      <c r="B79" s="8" t="inlineStr">
        <is>
          <t>伸港藥局</t>
        </is>
      </c>
      <c r="C79" s="8" t="inlineStr"/>
      <c r="D79" s="8" t="inlineStr">
        <is>
          <t>509彰化縣伸港鄉信義路135號</t>
        </is>
      </c>
      <c r="E79" s="9" t="n">
        <v>1</v>
      </c>
      <c r="F79" s="9" t="inlineStr">
        <is>
          <t>大法</t>
        </is>
      </c>
      <c r="G79" s="10">
        <f>HYPERLINK("#'大法原始資料'!A8", "11507080008")</f>
        <v/>
      </c>
      <c r="H79" s="9" t="inlineStr">
        <is>
          <t>DL01166155</t>
        </is>
      </c>
      <c r="I79" s="11" t="inlineStr"/>
    </row>
    <row r="80" ht="20" customHeight="1">
      <c r="A80" s="2" t="inlineStr">
        <is>
          <t>11507080024</t>
        </is>
      </c>
      <c r="B80" s="3" t="inlineStr">
        <is>
          <t>福倫藥局</t>
        </is>
      </c>
      <c r="C80" s="3" t="inlineStr">
        <is>
          <t>049-220-2918</t>
        </is>
      </c>
      <c r="D80" s="3" t="inlineStr">
        <is>
          <t>540南投市南陽路345號</t>
        </is>
      </c>
      <c r="E80" s="4" t="n">
        <v>2</v>
      </c>
      <c r="F80" s="4" t="inlineStr">
        <is>
          <t>拉法</t>
        </is>
      </c>
      <c r="G80" s="5">
        <f>HYPERLINK("#'拉法原始資料'!A25", "11507080024")</f>
        <v/>
      </c>
      <c r="H80" s="4" t="inlineStr">
        <is>
          <t>DM07864873</t>
        </is>
      </c>
      <c r="I80" s="6" t="inlineStr">
        <is>
          <t>Q</t>
        </is>
      </c>
    </row>
    <row r="81" ht="20" customHeight="1">
      <c r="A81" s="2" t="n"/>
      <c r="B81" s="3" t="n"/>
      <c r="C81" s="3" t="n"/>
      <c r="D81" s="3" t="n"/>
      <c r="E81" s="4" t="n"/>
      <c r="F81" s="4" t="inlineStr">
        <is>
          <t>大法</t>
        </is>
      </c>
      <c r="G81" s="5">
        <f>HYPERLINK("#'大法原始資料'!A52", "11507080052")</f>
        <v/>
      </c>
      <c r="H81" s="4" t="inlineStr">
        <is>
          <t>DL01166197</t>
        </is>
      </c>
      <c r="I81" s="6" t="inlineStr">
        <is>
          <t>Q</t>
        </is>
      </c>
    </row>
    <row r="82" ht="20" customHeight="1">
      <c r="A82" s="7" t="inlineStr">
        <is>
          <t>11507080108</t>
        </is>
      </c>
      <c r="B82" s="8" t="inlineStr">
        <is>
          <t>徠的安藥局</t>
        </is>
      </c>
      <c r="C82" s="8" t="inlineStr"/>
      <c r="D82" s="8" t="inlineStr">
        <is>
          <t>600嘉義市世賢一路549號</t>
        </is>
      </c>
      <c r="E82" s="9" t="n">
        <v>1</v>
      </c>
      <c r="F82" s="9" t="inlineStr">
        <is>
          <t>大法</t>
        </is>
      </c>
      <c r="G82" s="10">
        <f>HYPERLINK("#'大法原始資料'!A108", "11507080108")</f>
        <v/>
      </c>
      <c r="H82" s="9" t="inlineStr">
        <is>
          <t>DL01166254</t>
        </is>
      </c>
      <c r="I82" s="11" t="inlineStr"/>
    </row>
    <row r="83" ht="20" customHeight="1">
      <c r="A83" s="2" t="inlineStr">
        <is>
          <t>11507080055</t>
        </is>
      </c>
      <c r="B83" s="3" t="inlineStr">
        <is>
          <t>大安西藥房</t>
        </is>
      </c>
      <c r="C83" s="3" t="inlineStr">
        <is>
          <t>05-225-6100</t>
        </is>
      </c>
      <c r="D83" s="3" t="inlineStr">
        <is>
          <t>600嘉義市中山路189-1號</t>
        </is>
      </c>
      <c r="E83" s="4" t="n">
        <v>1</v>
      </c>
      <c r="F83" s="4" t="inlineStr">
        <is>
          <t>大法</t>
        </is>
      </c>
      <c r="G83" s="5">
        <f>HYPERLINK("#'大法原始資料'!A55", "11507080055")</f>
        <v/>
      </c>
      <c r="H83" s="4" t="inlineStr">
        <is>
          <t>DL01166200</t>
        </is>
      </c>
      <c r="I83" s="6" t="inlineStr"/>
    </row>
    <row r="84" ht="20" customHeight="1">
      <c r="A84" s="7" t="inlineStr">
        <is>
          <t>11507080011</t>
        </is>
      </c>
      <c r="B84" s="8" t="inlineStr">
        <is>
          <t>廣元藥局</t>
        </is>
      </c>
      <c r="C84" s="8" t="inlineStr"/>
      <c r="D84" s="8" t="inlineStr">
        <is>
          <t>600嘉義市中正路697號</t>
        </is>
      </c>
      <c r="E84" s="9" t="n">
        <v>3</v>
      </c>
      <c r="F84" s="9" t="inlineStr">
        <is>
          <t>大法</t>
        </is>
      </c>
      <c r="G84" s="10">
        <f>HYPERLINK("#'大法原始資料'!A12", "11507080012")</f>
        <v/>
      </c>
      <c r="H84" s="9" t="inlineStr">
        <is>
          <t>DL01166159</t>
        </is>
      </c>
      <c r="I84" s="11" t="inlineStr"/>
    </row>
    <row r="85" ht="20" customHeight="1">
      <c r="A85" s="7" t="n"/>
      <c r="B85" s="8" t="n"/>
      <c r="C85" s="8" t="n"/>
      <c r="D85" s="8" t="n"/>
      <c r="E85" s="9" t="n"/>
      <c r="F85" s="9" t="inlineStr">
        <is>
          <t>大法</t>
        </is>
      </c>
      <c r="G85" s="10">
        <f>HYPERLINK("#'大法原始資料'!A11", "11507080011")</f>
        <v/>
      </c>
      <c r="H85" s="9" t="inlineStr">
        <is>
          <t>DL01166158</t>
        </is>
      </c>
      <c r="I85" s="11" t="inlineStr"/>
    </row>
    <row r="86" ht="20" customHeight="1">
      <c r="A86" s="7" t="n"/>
      <c r="B86" s="8" t="n"/>
      <c r="C86" s="8" t="n"/>
      <c r="D86" s="8" t="n"/>
      <c r="E86" s="9" t="n"/>
      <c r="F86" s="9" t="inlineStr">
        <is>
          <t>大法</t>
        </is>
      </c>
      <c r="G86" s="10">
        <f>HYPERLINK("#'大法原始資料'!A35", "11507080035")</f>
        <v/>
      </c>
      <c r="H86" s="9" t="inlineStr">
        <is>
          <t>DL01166180</t>
        </is>
      </c>
      <c r="I86" s="11" t="inlineStr"/>
    </row>
    <row r="87" ht="20" customHeight="1">
      <c r="A87" s="2" t="inlineStr">
        <is>
          <t>11507080014</t>
        </is>
      </c>
      <c r="B87" s="3" t="inlineStr">
        <is>
          <t>中興中西藥局</t>
        </is>
      </c>
      <c r="C87" s="3" t="inlineStr"/>
      <c r="D87" s="3" t="inlineStr">
        <is>
          <t>600嘉義市垂楊路501號</t>
        </is>
      </c>
      <c r="E87" s="4" t="n">
        <v>1</v>
      </c>
      <c r="F87" s="4" t="inlineStr">
        <is>
          <t>大法</t>
        </is>
      </c>
      <c r="G87" s="5">
        <f>HYPERLINK("#'大法原始資料'!A14", "11507080014")</f>
        <v/>
      </c>
      <c r="H87" s="4" t="inlineStr">
        <is>
          <t>DL01166244</t>
        </is>
      </c>
      <c r="I87" s="6" t="inlineStr"/>
    </row>
    <row r="88" ht="20" customHeight="1">
      <c r="A88" s="7" t="inlineStr">
        <is>
          <t>11507080111</t>
        </is>
      </c>
      <c r="B88" s="8" t="inlineStr">
        <is>
          <t>萬樂福藥局</t>
        </is>
      </c>
      <c r="C88" s="8" t="inlineStr"/>
      <c r="D88" s="8" t="inlineStr">
        <is>
          <t>600嘉義市玉山路190號</t>
        </is>
      </c>
      <c r="E88" s="9" t="n">
        <v>1</v>
      </c>
      <c r="F88" s="9" t="inlineStr">
        <is>
          <t>大法</t>
        </is>
      </c>
      <c r="G88" s="10">
        <f>HYPERLINK("#'大法原始資料'!A111", "11507080111")</f>
        <v/>
      </c>
      <c r="H88" s="9" t="inlineStr">
        <is>
          <t>DL01166257</t>
        </is>
      </c>
      <c r="I88" s="11" t="inlineStr"/>
    </row>
    <row r="89" ht="20" customHeight="1">
      <c r="A89" s="2" t="inlineStr">
        <is>
          <t>11507080013</t>
        </is>
      </c>
      <c r="B89" s="3" t="inlineStr">
        <is>
          <t>弘安醫藥有限公司</t>
        </is>
      </c>
      <c r="C89" s="3" t="inlineStr"/>
      <c r="D89" s="3" t="inlineStr">
        <is>
          <t>608嘉義縣水上鄉寬士村崎仔頭1-1300號</t>
        </is>
      </c>
      <c r="E89" s="4" t="n">
        <v>1</v>
      </c>
      <c r="F89" s="4" t="inlineStr">
        <is>
          <t>大法</t>
        </is>
      </c>
      <c r="G89" s="5">
        <f>HYPERLINK("#'大法原始資料'!A13", "11507080013")</f>
        <v/>
      </c>
      <c r="H89" s="4" t="inlineStr">
        <is>
          <t>DL01166160</t>
        </is>
      </c>
      <c r="I89" s="6" t="inlineStr">
        <is>
          <t>編號：20260706314</t>
        </is>
      </c>
    </row>
    <row r="90" ht="20" customHeight="1">
      <c r="A90" s="7" t="inlineStr">
        <is>
          <t>11507080109</t>
        </is>
      </c>
      <c r="B90" s="8" t="inlineStr">
        <is>
          <t>保祥藥局</t>
        </is>
      </c>
      <c r="C90" s="8" t="inlineStr">
        <is>
          <t>05-362-2100</t>
        </is>
      </c>
      <c r="D90" s="8" t="inlineStr">
        <is>
          <t>612嘉義縣太保市祥和三路東段75號</t>
        </is>
      </c>
      <c r="E90" s="9" t="n">
        <v>1</v>
      </c>
      <c r="F90" s="9" t="inlineStr">
        <is>
          <t>大法</t>
        </is>
      </c>
      <c r="G90" s="10">
        <f>HYPERLINK("#'大法原始資料'!A109", "11507080109")</f>
        <v/>
      </c>
      <c r="H90" s="9" t="inlineStr">
        <is>
          <t>DL01166255</t>
        </is>
      </c>
      <c r="I90" s="11" t="inlineStr"/>
    </row>
    <row r="91" ht="20" customHeight="1">
      <c r="A91" s="2" t="inlineStr">
        <is>
          <t>11507080034</t>
        </is>
      </c>
      <c r="B91" s="3" t="inlineStr">
        <is>
          <t>三馬藥師藥局</t>
        </is>
      </c>
      <c r="C91" s="3" t="inlineStr"/>
      <c r="D91" s="3" t="inlineStr">
        <is>
          <t>637雲林縣崙背鄉南陽村南光路1-21號</t>
        </is>
      </c>
      <c r="E91" s="4" t="n">
        <v>1</v>
      </c>
      <c r="F91" s="4" t="inlineStr">
        <is>
          <t>大法</t>
        </is>
      </c>
      <c r="G91" s="5">
        <f>HYPERLINK("#'大法原始資料'!A34", "11507080034")</f>
        <v/>
      </c>
      <c r="H91" s="4" t="inlineStr">
        <is>
          <t>DL01166179</t>
        </is>
      </c>
      <c r="I91" s="6" t="inlineStr"/>
    </row>
    <row r="92" ht="20" customHeight="1">
      <c r="A92" s="7" t="inlineStr">
        <is>
          <t>11507080039</t>
        </is>
      </c>
      <c r="B92" s="8" t="inlineStr">
        <is>
          <t>武田藥局</t>
        </is>
      </c>
      <c r="C92" s="8" t="inlineStr"/>
      <c r="D92" s="8" t="inlineStr">
        <is>
          <t>640雲林縣斗六巿中華路161號</t>
        </is>
      </c>
      <c r="E92" s="9" t="n">
        <v>1</v>
      </c>
      <c r="F92" s="9" t="inlineStr">
        <is>
          <t>大法</t>
        </is>
      </c>
      <c r="G92" s="10">
        <f>HYPERLINK("#'大法原始資料'!A39", "11507080039")</f>
        <v/>
      </c>
      <c r="H92" s="9" t="inlineStr">
        <is>
          <t>DL01166184</t>
        </is>
      </c>
      <c r="I92" s="11" t="inlineStr">
        <is>
          <t>KYS30 900*3
KY100 2300*3</t>
        </is>
      </c>
    </row>
    <row r="93" ht="20" customHeight="1">
      <c r="A93" s="2" t="inlineStr">
        <is>
          <t>11507080056</t>
        </is>
      </c>
      <c r="B93" s="3" t="inlineStr">
        <is>
          <t>明泰藥局</t>
        </is>
      </c>
      <c r="C93" s="3" t="inlineStr"/>
      <c r="D93" s="3" t="inlineStr">
        <is>
          <t>647雲林縣莿桐鄉中山路106號</t>
        </is>
      </c>
      <c r="E93" s="4" t="n">
        <v>1</v>
      </c>
      <c r="F93" s="4" t="inlineStr">
        <is>
          <t>大法</t>
        </is>
      </c>
      <c r="G93" s="5">
        <f>HYPERLINK("#'大法原始資料'!A56", "11507080056")</f>
        <v/>
      </c>
      <c r="H93" s="4" t="inlineStr">
        <is>
          <t>DL01166201</t>
        </is>
      </c>
      <c r="I93" s="6" t="inlineStr"/>
    </row>
    <row r="94" ht="20" customHeight="1">
      <c r="A94" s="7" t="inlineStr">
        <is>
          <t>11507080037</t>
        </is>
      </c>
      <c r="B94" s="8" t="inlineStr">
        <is>
          <t>二崙藥師藥局</t>
        </is>
      </c>
      <c r="C94" s="8" t="inlineStr">
        <is>
          <t>05-5990-299</t>
        </is>
      </c>
      <c r="D94" s="8" t="inlineStr">
        <is>
          <t>649雲林縣二崙鄉中山路199號</t>
        </is>
      </c>
      <c r="E94" s="9" t="n">
        <v>2</v>
      </c>
      <c r="F94" s="9" t="inlineStr">
        <is>
          <t>大法</t>
        </is>
      </c>
      <c r="G94" s="10">
        <f>HYPERLINK("#'大法原始資料'!A37", "11507080037")</f>
        <v/>
      </c>
      <c r="H94" s="9" t="inlineStr">
        <is>
          <t>DL01166182</t>
        </is>
      </c>
      <c r="I94" s="11" t="inlineStr"/>
    </row>
    <row r="95" ht="20" customHeight="1">
      <c r="A95" s="7" t="n"/>
      <c r="B95" s="8" t="n"/>
      <c r="C95" s="8" t="n"/>
      <c r="D95" s="8" t="n"/>
      <c r="E95" s="9" t="n"/>
      <c r="F95" s="9" t="inlineStr">
        <is>
          <t>大法</t>
        </is>
      </c>
      <c r="G95" s="10">
        <f>HYPERLINK("#'大法原始資料'!A38", "11507080038")</f>
        <v/>
      </c>
      <c r="H95" s="9" t="inlineStr">
        <is>
          <t>DL01166183</t>
        </is>
      </c>
      <c r="I95" s="11" t="inlineStr">
        <is>
          <t>二崙(活動）</t>
        </is>
      </c>
    </row>
    <row r="96" ht="20" customHeight="1">
      <c r="A96" s="2" t="inlineStr">
        <is>
          <t>11507080009</t>
        </is>
      </c>
      <c r="B96" s="3" t="inlineStr">
        <is>
          <t>昶欣藥局</t>
        </is>
      </c>
      <c r="C96" s="3" t="inlineStr"/>
      <c r="D96" s="3" t="inlineStr">
        <is>
          <t>700台南巿中西區西賢一街110號</t>
        </is>
      </c>
      <c r="E96" s="4" t="n">
        <v>1</v>
      </c>
      <c r="F96" s="4" t="inlineStr">
        <is>
          <t>大法</t>
        </is>
      </c>
      <c r="G96" s="5">
        <f>HYPERLINK("#'大法原始資料'!A9", "11507080009")</f>
        <v/>
      </c>
      <c r="H96" s="4" t="inlineStr">
        <is>
          <t>DL01166156</t>
        </is>
      </c>
      <c r="I96" s="6" t="inlineStr"/>
    </row>
    <row r="97" ht="20" customHeight="1">
      <c r="A97" s="7" t="inlineStr">
        <is>
          <t>11507080068</t>
        </is>
      </c>
      <c r="B97" s="8" t="inlineStr">
        <is>
          <t>宏昌藥局</t>
        </is>
      </c>
      <c r="C97" s="8" t="inlineStr"/>
      <c r="D97" s="8" t="inlineStr">
        <is>
          <t>701台南巿東區大同路一段271號</t>
        </is>
      </c>
      <c r="E97" s="9" t="n">
        <v>1</v>
      </c>
      <c r="F97" s="9" t="inlineStr">
        <is>
          <t>大法</t>
        </is>
      </c>
      <c r="G97" s="10">
        <f>HYPERLINK("#'大法原始資料'!A68", "11507080068")</f>
        <v/>
      </c>
      <c r="H97" s="9" t="inlineStr">
        <is>
          <t>DL01166213</t>
        </is>
      </c>
      <c r="I97" s="11" t="inlineStr"/>
    </row>
    <row r="98" ht="20" customHeight="1">
      <c r="A98" s="2" t="inlineStr">
        <is>
          <t>11507080110</t>
        </is>
      </c>
      <c r="B98" s="3" t="inlineStr">
        <is>
          <t>小樹藥局</t>
        </is>
      </c>
      <c r="C98" s="3" t="inlineStr">
        <is>
          <t>062959318</t>
        </is>
      </c>
      <c r="D98" s="3" t="inlineStr">
        <is>
          <t>708台南市安平區怡平路137號1樓</t>
        </is>
      </c>
      <c r="E98" s="4" t="n">
        <v>1</v>
      </c>
      <c r="F98" s="4" t="inlineStr">
        <is>
          <t>大法</t>
        </is>
      </c>
      <c r="G98" s="5">
        <f>HYPERLINK("#'大法原始資料'!A110", "11507080110")</f>
        <v/>
      </c>
      <c r="H98" s="4" t="inlineStr">
        <is>
          <t>DL01166256</t>
        </is>
      </c>
      <c r="I98" s="6" t="inlineStr"/>
    </row>
    <row r="99" ht="20" customHeight="1">
      <c r="A99" s="7" t="inlineStr">
        <is>
          <t>11507080032</t>
        </is>
      </c>
      <c r="B99" s="8" t="inlineStr">
        <is>
          <t>新化健保藥局</t>
        </is>
      </c>
      <c r="C99" s="8" t="inlineStr"/>
      <c r="D99" s="8" t="inlineStr">
        <is>
          <t>712台南市新化區中山路507號</t>
        </is>
      </c>
      <c r="E99" s="9" t="n">
        <v>1</v>
      </c>
      <c r="F99" s="9" t="inlineStr">
        <is>
          <t>大法</t>
        </is>
      </c>
      <c r="G99" s="10">
        <f>HYPERLINK("#'大法原始資料'!A32", "11507080032")</f>
        <v/>
      </c>
      <c r="H99" s="9" t="inlineStr">
        <is>
          <t>DL01166177</t>
        </is>
      </c>
      <c r="I99" s="11" t="inlineStr"/>
    </row>
    <row r="100" ht="20" customHeight="1">
      <c r="A100" s="2" t="inlineStr">
        <is>
          <t>11507080107</t>
        </is>
      </c>
      <c r="B100" s="3" t="inlineStr">
        <is>
          <t>富傑藥局</t>
        </is>
      </c>
      <c r="C100" s="3" t="inlineStr"/>
      <c r="D100" s="3" t="inlineStr">
        <is>
          <t>712台南市新化區中正路545號</t>
        </is>
      </c>
      <c r="E100" s="4" t="n">
        <v>1</v>
      </c>
      <c r="F100" s="4" t="inlineStr">
        <is>
          <t>大法</t>
        </is>
      </c>
      <c r="G100" s="5">
        <f>HYPERLINK("#'大法原始資料'!A107", "11507080107")</f>
        <v/>
      </c>
      <c r="H100" s="4" t="inlineStr">
        <is>
          <t>DL01166253</t>
        </is>
      </c>
      <c r="I100" s="6" t="inlineStr"/>
    </row>
    <row r="101" ht="20" customHeight="1">
      <c r="A101" s="7" t="inlineStr">
        <is>
          <t>11507080073</t>
        </is>
      </c>
      <c r="B101" s="8" t="inlineStr">
        <is>
          <t>長榮藥局</t>
        </is>
      </c>
      <c r="C101" s="8" t="inlineStr"/>
      <c r="D101" s="8" t="inlineStr">
        <is>
          <t>723台南市西港區新興街12巷14號1樓</t>
        </is>
      </c>
      <c r="E101" s="9" t="n">
        <v>1</v>
      </c>
      <c r="F101" s="9" t="inlineStr">
        <is>
          <t>大法</t>
        </is>
      </c>
      <c r="G101" s="10">
        <f>HYPERLINK("#'大法原始資料'!A73", "11507080073")</f>
        <v/>
      </c>
      <c r="H101" s="9" t="inlineStr">
        <is>
          <t>DL01166218</t>
        </is>
      </c>
      <c r="I101" s="11" t="inlineStr"/>
    </row>
    <row r="102" ht="20" customHeight="1">
      <c r="A102" s="2" t="inlineStr">
        <is>
          <t>11507080024</t>
        </is>
      </c>
      <c r="B102" s="3" t="inlineStr">
        <is>
          <t>麗暉藥師藥局</t>
        </is>
      </c>
      <c r="C102" s="3" t="inlineStr"/>
      <c r="D102" s="3" t="inlineStr">
        <is>
          <t>730台南市新營區民權路66號1F</t>
        </is>
      </c>
      <c r="E102" s="4" t="n">
        <v>1</v>
      </c>
      <c r="F102" s="4" t="inlineStr">
        <is>
          <t>大法</t>
        </is>
      </c>
      <c r="G102" s="5">
        <f>HYPERLINK("#'大法原始資料'!A24", "11507080024")</f>
        <v/>
      </c>
      <c r="H102" s="4" t="inlineStr">
        <is>
          <t>DL01166169</t>
        </is>
      </c>
      <c r="I102" s="6" t="inlineStr">
        <is>
          <t xml:space="preserve"> 麗暉(急件)</t>
        </is>
      </c>
    </row>
    <row r="103" ht="20" customHeight="1">
      <c r="A103" s="7" t="inlineStr">
        <is>
          <t>11507080050</t>
        </is>
      </c>
      <c r="B103" s="8" t="inlineStr">
        <is>
          <t>元盛藥局</t>
        </is>
      </c>
      <c r="C103" s="8" t="inlineStr"/>
      <c r="D103" s="8" t="inlineStr">
        <is>
          <t>800高雄巿新興區六合路153號</t>
        </is>
      </c>
      <c r="E103" s="9" t="n">
        <v>1</v>
      </c>
      <c r="F103" s="9" t="inlineStr">
        <is>
          <t>大法</t>
        </is>
      </c>
      <c r="G103" s="10">
        <f>HYPERLINK("#'大法原始資料'!A50", "11507080050")</f>
        <v/>
      </c>
      <c r="H103" s="9" t="inlineStr">
        <is>
          <t>DL01166195</t>
        </is>
      </c>
      <c r="I103" s="11" t="inlineStr"/>
    </row>
    <row r="104" ht="20" customHeight="1">
      <c r="A104" s="2" t="inlineStr">
        <is>
          <t>11507080033</t>
        </is>
      </c>
      <c r="B104" s="3" t="inlineStr">
        <is>
          <t>久億藥局</t>
        </is>
      </c>
      <c r="C104" s="3" t="inlineStr"/>
      <c r="D104" s="3" t="inlineStr">
        <is>
          <t>806高雄市前鎮區保泰路三五一號</t>
        </is>
      </c>
      <c r="E104" s="4" t="n">
        <v>1</v>
      </c>
      <c r="F104" s="4" t="inlineStr">
        <is>
          <t>大法</t>
        </is>
      </c>
      <c r="G104" s="5">
        <f>HYPERLINK("#'大法原始資料'!A33", "11507080033")</f>
        <v/>
      </c>
      <c r="H104" s="4" t="inlineStr">
        <is>
          <t>DL01166178</t>
        </is>
      </c>
      <c r="I104" s="6" t="inlineStr">
        <is>
          <t>P992607060077</t>
        </is>
      </c>
    </row>
    <row r="105" ht="20" customHeight="1">
      <c r="A105" s="7" t="inlineStr">
        <is>
          <t>11507080015</t>
        </is>
      </c>
      <c r="B105" s="8" t="inlineStr">
        <is>
          <t>小花中西藥局</t>
        </is>
      </c>
      <c r="C105" s="8" t="inlineStr">
        <is>
          <t>07-385-1232</t>
        </is>
      </c>
      <c r="D105" s="8" t="inlineStr">
        <is>
          <t>807高雄市三民區陽明路73號</t>
        </is>
      </c>
      <c r="E105" s="9" t="n">
        <v>2</v>
      </c>
      <c r="F105" s="9" t="inlineStr">
        <is>
          <t>拉法</t>
        </is>
      </c>
      <c r="G105" s="10">
        <f>HYPERLINK("#'拉法原始資料'!A16", "11507080015")</f>
        <v/>
      </c>
      <c r="H105" s="9" t="inlineStr">
        <is>
          <t>DM07864864</t>
        </is>
      </c>
      <c r="I105" s="11" t="inlineStr">
        <is>
          <t>Q</t>
        </is>
      </c>
    </row>
    <row r="106" ht="20" customHeight="1">
      <c r="A106" s="7" t="n"/>
      <c r="B106" s="8" t="n"/>
      <c r="C106" s="8" t="n"/>
      <c r="D106" s="8" t="n"/>
      <c r="E106" s="9" t="n"/>
      <c r="F106" s="9" t="inlineStr">
        <is>
          <t>大法</t>
        </is>
      </c>
      <c r="G106" s="10">
        <f>HYPERLINK("#'大法原始資料'!A44", "11507080044")</f>
        <v/>
      </c>
      <c r="H106" s="9" t="inlineStr">
        <is>
          <t>DL01166189</t>
        </is>
      </c>
      <c r="I106" s="11" t="inlineStr">
        <is>
          <t>Q</t>
        </is>
      </c>
    </row>
    <row r="107" ht="20" customHeight="1">
      <c r="A107" s="2" t="inlineStr">
        <is>
          <t>11507080040</t>
        </is>
      </c>
      <c r="B107" s="3" t="inlineStr">
        <is>
          <t>德賢藥師藥局</t>
        </is>
      </c>
      <c r="C107" s="3" t="inlineStr"/>
      <c r="D107" s="3" t="inlineStr">
        <is>
          <t>811高雄市楠梓區德賢路553號</t>
        </is>
      </c>
      <c r="E107" s="4" t="n">
        <v>1</v>
      </c>
      <c r="F107" s="4" t="inlineStr">
        <is>
          <t>大法</t>
        </is>
      </c>
      <c r="G107" s="5">
        <f>HYPERLINK("#'大法原始資料'!A40", "11507080040")</f>
        <v/>
      </c>
      <c r="H107" s="4" t="inlineStr">
        <is>
          <t>DL01166185</t>
        </is>
      </c>
      <c r="I107" s="6" t="inlineStr"/>
    </row>
    <row r="108" ht="20" customHeight="1">
      <c r="A108" s="7" t="inlineStr">
        <is>
          <t>11507080069</t>
        </is>
      </c>
      <c r="B108" s="8" t="inlineStr">
        <is>
          <t>桂林活力藥師藥局孔鳳店</t>
        </is>
      </c>
      <c r="C108" s="8" t="inlineStr"/>
      <c r="D108" s="8" t="inlineStr">
        <is>
          <t>812高雄市小港區孔鳳路561號1樓</t>
        </is>
      </c>
      <c r="E108" s="9" t="n">
        <v>3</v>
      </c>
      <c r="F108" s="9" t="inlineStr">
        <is>
          <t>大法</t>
        </is>
      </c>
      <c r="G108" s="10">
        <f>HYPERLINK("#'大法原始資料'!A69", "11507080069")</f>
        <v/>
      </c>
      <c r="H108" s="9" t="inlineStr">
        <is>
          <t>DL01166214</t>
        </is>
      </c>
      <c r="I108" s="11" t="inlineStr">
        <is>
          <t>P992607070015</t>
        </is>
      </c>
    </row>
    <row r="109" ht="20" customHeight="1">
      <c r="A109" s="7" t="n"/>
      <c r="B109" s="8" t="n"/>
      <c r="C109" s="8" t="n"/>
      <c r="D109" s="8" t="n"/>
      <c r="E109" s="9" t="n"/>
      <c r="F109" s="9" t="inlineStr">
        <is>
          <t>大法</t>
        </is>
      </c>
      <c r="G109" s="10">
        <f>HYPERLINK("#'大法原始資料'!A70", "11507080070")</f>
        <v/>
      </c>
      <c r="H109" s="9" t="inlineStr">
        <is>
          <t>DL01166215</t>
        </is>
      </c>
      <c r="I109" s="11" t="inlineStr">
        <is>
          <t>P992607070009</t>
        </is>
      </c>
    </row>
    <row r="110" ht="20" customHeight="1">
      <c r="A110" s="7" t="n"/>
      <c r="B110" s="8" t="n"/>
      <c r="C110" s="8" t="n"/>
      <c r="D110" s="8" t="n"/>
      <c r="E110" s="9" t="n"/>
      <c r="F110" s="9" t="inlineStr">
        <is>
          <t>大法</t>
        </is>
      </c>
      <c r="G110" s="10">
        <f>HYPERLINK("#'大法原始資料'!A71", "11507080071")</f>
        <v/>
      </c>
      <c r="H110" s="9" t="inlineStr">
        <is>
          <t>DL01166216</t>
        </is>
      </c>
      <c r="I110" s="11" t="inlineStr">
        <is>
          <t>NEO 650*15.
請隨附DM*10張.</t>
        </is>
      </c>
    </row>
    <row r="111" ht="20" customHeight="1">
      <c r="A111" s="2" t="inlineStr">
        <is>
          <t>11507080036</t>
        </is>
      </c>
      <c r="B111" s="3" t="inlineStr">
        <is>
          <t>士凱藥局</t>
        </is>
      </c>
      <c r="C111" s="3" t="inlineStr"/>
      <c r="D111" s="3" t="inlineStr">
        <is>
          <t>813高雄市左營區孟子路178號</t>
        </is>
      </c>
      <c r="E111" s="4" t="n">
        <v>1</v>
      </c>
      <c r="F111" s="4" t="inlineStr">
        <is>
          <t>大法</t>
        </is>
      </c>
      <c r="G111" s="5">
        <f>HYPERLINK("#'大法原始資料'!A36", "11507080036")</f>
        <v/>
      </c>
      <c r="H111" s="4" t="inlineStr">
        <is>
          <t>DL01166181</t>
        </is>
      </c>
      <c r="I111" s="6" t="inlineStr"/>
    </row>
    <row r="112" ht="20" customHeight="1">
      <c r="A112" s="7" t="inlineStr">
        <is>
          <t>11507080072</t>
        </is>
      </c>
      <c r="B112" s="8" t="inlineStr">
        <is>
          <t>順成藥局</t>
        </is>
      </c>
      <c r="C112" s="8" t="inlineStr"/>
      <c r="D112" s="8" t="inlineStr">
        <is>
          <t>826高雄市梓官區梓官路城隍巷31號</t>
        </is>
      </c>
      <c r="E112" s="9" t="n">
        <v>1</v>
      </c>
      <c r="F112" s="9" t="inlineStr">
        <is>
          <t>大法</t>
        </is>
      </c>
      <c r="G112" s="10">
        <f>HYPERLINK("#'大法原始資料'!A72", "11507080072")</f>
        <v/>
      </c>
      <c r="H112" s="9" t="inlineStr">
        <is>
          <t>DL01166217</t>
        </is>
      </c>
      <c r="I112" s="11" t="inlineStr"/>
    </row>
    <row r="113" ht="20" customHeight="1">
      <c r="A113" s="2" t="inlineStr">
        <is>
          <t>11507080047</t>
        </is>
      </c>
      <c r="B113" s="3" t="inlineStr">
        <is>
          <t>王藥局</t>
        </is>
      </c>
      <c r="C113" s="3" t="inlineStr"/>
      <c r="D113" s="3" t="inlineStr">
        <is>
          <t>830高雄巿鳳山區南江街129號</t>
        </is>
      </c>
      <c r="E113" s="4" t="n">
        <v>1</v>
      </c>
      <c r="F113" s="4" t="inlineStr">
        <is>
          <t>大法</t>
        </is>
      </c>
      <c r="G113" s="5">
        <f>HYPERLINK("#'大法原始資料'!A47", "11507080047")</f>
        <v/>
      </c>
      <c r="H113" s="4" t="inlineStr">
        <is>
          <t>DL01166192</t>
        </is>
      </c>
      <c r="I113" s="6" t="inlineStr">
        <is>
          <t>Ky 2300*5 (2聯發票）</t>
        </is>
      </c>
    </row>
    <row r="114" ht="20" customHeight="1">
      <c r="A114" s="7" t="inlineStr">
        <is>
          <t>11507080049</t>
        </is>
      </c>
      <c r="B114" s="8" t="inlineStr">
        <is>
          <t>建保藥局</t>
        </is>
      </c>
      <c r="C114" s="8" t="inlineStr"/>
      <c r="D114" s="8" t="inlineStr">
        <is>
          <t>830高雄市鳳山區八德路201號</t>
        </is>
      </c>
      <c r="E114" s="9" t="n">
        <v>1</v>
      </c>
      <c r="F114" s="9" t="inlineStr">
        <is>
          <t>大法</t>
        </is>
      </c>
      <c r="G114" s="10">
        <f>HYPERLINK("#'大法原始資料'!A49", "11507080049")</f>
        <v/>
      </c>
      <c r="H114" s="9" t="inlineStr">
        <is>
          <t>DL01166194</t>
        </is>
      </c>
      <c r="I114" s="11" t="inlineStr">
        <is>
          <t>P012607060007</t>
        </is>
      </c>
    </row>
    <row r="115" ht="20" customHeight="1">
      <c r="A115" s="2" t="inlineStr">
        <is>
          <t>11507080001</t>
        </is>
      </c>
      <c r="B115" s="3" t="inlineStr">
        <is>
          <t>長英藥局</t>
        </is>
      </c>
      <c r="C115" s="3" t="inlineStr">
        <is>
          <t>077805002</t>
        </is>
      </c>
      <c r="D115" s="3" t="inlineStr">
        <is>
          <t>830高雄市鳳山市八德路二段267號</t>
        </is>
      </c>
      <c r="E115" s="4" t="n">
        <v>1</v>
      </c>
      <c r="F115" s="4" t="inlineStr">
        <is>
          <t>大法</t>
        </is>
      </c>
      <c r="G115" s="5">
        <f>HYPERLINK("#'大法原始資料'!A2", "11507080001")</f>
        <v/>
      </c>
      <c r="H115" s="4" t="inlineStr">
        <is>
          <t>DL01166148</t>
        </is>
      </c>
      <c r="I115" s="6" t="inlineStr">
        <is>
          <t>長英（親送）</t>
        </is>
      </c>
    </row>
    <row r="116" ht="20" customHeight="1">
      <c r="A116" s="7" t="inlineStr">
        <is>
          <t>11507080041</t>
        </is>
      </c>
      <c r="B116" s="8" t="inlineStr">
        <is>
          <t>安泰專業藥局</t>
        </is>
      </c>
      <c r="C116" s="8" t="inlineStr"/>
      <c r="D116" s="8" t="inlineStr">
        <is>
          <t>831高雄市大寮區鳳林三路835號</t>
        </is>
      </c>
      <c r="E116" s="9" t="n">
        <v>2</v>
      </c>
      <c r="F116" s="9" t="inlineStr">
        <is>
          <t>大法</t>
        </is>
      </c>
      <c r="G116" s="10">
        <f>HYPERLINK("#'大法原始資料'!A41", "11507080041")</f>
        <v/>
      </c>
      <c r="H116" s="9" t="inlineStr">
        <is>
          <t>DL01166186</t>
        </is>
      </c>
      <c r="I116" s="11" t="inlineStr"/>
    </row>
    <row r="117" ht="20" customHeight="1">
      <c r="A117" s="7" t="n"/>
      <c r="B117" s="8" t="n"/>
      <c r="C117" s="8" t="n"/>
      <c r="D117" s="8" t="n"/>
      <c r="E117" s="9" t="n"/>
      <c r="F117" s="9" t="inlineStr">
        <is>
          <t>大法</t>
        </is>
      </c>
      <c r="G117" s="10">
        <f>HYPERLINK("#'大法原始資料'!A42", "11507080042")</f>
        <v/>
      </c>
      <c r="H117" s="9" t="inlineStr">
        <is>
          <t>DL01166187</t>
        </is>
      </c>
      <c r="I117" s="11" t="inlineStr"/>
    </row>
    <row r="118" ht="20" customHeight="1">
      <c r="A118" s="2" t="inlineStr">
        <is>
          <t>11507080048</t>
        </is>
      </c>
      <c r="B118" s="3" t="inlineStr">
        <is>
          <t>三和藥局</t>
        </is>
      </c>
      <c r="C118" s="3" t="inlineStr"/>
      <c r="D118" s="3" t="inlineStr">
        <is>
          <t>900屏東市中華路8號</t>
        </is>
      </c>
      <c r="E118" s="4" t="n">
        <v>1</v>
      </c>
      <c r="F118" s="4" t="inlineStr">
        <is>
          <t>大法</t>
        </is>
      </c>
      <c r="G118" s="5">
        <f>HYPERLINK("#'大法原始資料'!A48", "11507080048")</f>
        <v/>
      </c>
      <c r="H118" s="4" t="inlineStr">
        <is>
          <t>DL01166193</t>
        </is>
      </c>
      <c r="I118" s="6" t="inlineStr"/>
    </row>
    <row r="119" ht="20" customHeight="1">
      <c r="A119" s="7" t="inlineStr">
        <is>
          <t>11507080043</t>
        </is>
      </c>
      <c r="B119" s="8" t="inlineStr">
        <is>
          <t>葉藥局</t>
        </is>
      </c>
      <c r="C119" s="8" t="inlineStr"/>
      <c r="D119" s="8" t="inlineStr">
        <is>
          <t>906屏東縣高樹鄉南興路135號1樓</t>
        </is>
      </c>
      <c r="E119" s="9" t="n">
        <v>1</v>
      </c>
      <c r="F119" s="9" t="inlineStr">
        <is>
          <t>大法</t>
        </is>
      </c>
      <c r="G119" s="10">
        <f>HYPERLINK("#'大法原始資料'!A43", "11507080043")</f>
        <v/>
      </c>
      <c r="H119" s="9" t="inlineStr">
        <is>
          <t>DL01166188</t>
        </is>
      </c>
      <c r="I119" s="11" t="inlineStr"/>
    </row>
    <row r="120" ht="20" customHeight="1">
      <c r="A120" s="2" t="inlineStr">
        <is>
          <t>11507080054</t>
        </is>
      </c>
      <c r="B120" s="3" t="inlineStr">
        <is>
          <t>昕妙春藥局</t>
        </is>
      </c>
      <c r="C120" s="3" t="inlineStr">
        <is>
          <t>08-785-0153</t>
        </is>
      </c>
      <c r="D120" s="3" t="inlineStr">
        <is>
          <t>923屏東縣萬巒鄉新隆路48號</t>
        </is>
      </c>
      <c r="E120" s="4" t="n">
        <v>1</v>
      </c>
      <c r="F120" s="4" t="inlineStr">
        <is>
          <t>大法</t>
        </is>
      </c>
      <c r="G120" s="5">
        <f>HYPERLINK("#'大法原始資料'!A54", "11507080054")</f>
        <v/>
      </c>
      <c r="H120" s="4" t="inlineStr">
        <is>
          <t>DL01166199</t>
        </is>
      </c>
      <c r="I120" s="6" t="inlineStr"/>
    </row>
    <row r="121" ht="20" customHeight="1">
      <c r="A121" s="7" t="inlineStr">
        <is>
          <t>11507080016</t>
        </is>
      </c>
      <c r="B121" s="8" t="inlineStr">
        <is>
          <t>健康大藥局</t>
        </is>
      </c>
      <c r="C121" s="8" t="inlineStr"/>
      <c r="D121" s="8" t="inlineStr">
        <is>
          <t>950台東巿新生路489號</t>
        </is>
      </c>
      <c r="E121" s="9" t="n">
        <v>3</v>
      </c>
      <c r="F121" s="9" t="inlineStr">
        <is>
          <t>大法</t>
        </is>
      </c>
      <c r="G121" s="10">
        <f>HYPERLINK("#'大法原始資料'!A45", "11507080045")</f>
        <v/>
      </c>
      <c r="H121" s="9" t="inlineStr">
        <is>
          <t>DL01166190</t>
        </is>
      </c>
      <c r="I121" s="11" t="inlineStr">
        <is>
          <t>Q</t>
        </is>
      </c>
    </row>
    <row r="122" ht="20" customHeight="1">
      <c r="A122" s="7" t="n"/>
      <c r="B122" s="8" t="n"/>
      <c r="C122" s="8" t="n"/>
      <c r="D122" s="8" t="n"/>
      <c r="E122" s="9" t="n"/>
      <c r="F122" s="9" t="inlineStr">
        <is>
          <t>大法</t>
        </is>
      </c>
      <c r="G122" s="10">
        <f>HYPERLINK("#'大法原始資料'!A46", "11507080046")</f>
        <v/>
      </c>
      <c r="H122" s="9" t="inlineStr">
        <is>
          <t>DL01166191</t>
        </is>
      </c>
      <c r="I122" s="11" t="inlineStr">
        <is>
          <t>Q</t>
        </is>
      </c>
    </row>
    <row r="123" ht="20" customHeight="1">
      <c r="A123" s="7" t="n"/>
      <c r="B123" s="8" t="n"/>
      <c r="C123" s="8" t="n"/>
      <c r="D123" s="8" t="n"/>
      <c r="E123" s="9" t="n"/>
      <c r="F123" s="9" t="inlineStr">
        <is>
          <t>拉法</t>
        </is>
      </c>
      <c r="G123" s="10">
        <f>HYPERLINK("#'拉法原始資料'!A17", "11507080016")</f>
        <v/>
      </c>
      <c r="H123" s="9" t="inlineStr">
        <is>
          <t>DM07864865</t>
        </is>
      </c>
      <c r="I123" s="11" t="inlineStr">
        <is>
          <t>Q</t>
        </is>
      </c>
    </row>
    <row r="124" ht="20" customHeight="1">
      <c r="A124" s="2" t="inlineStr">
        <is>
          <t>11507080017</t>
        </is>
      </c>
      <c r="B124" s="3" t="inlineStr">
        <is>
          <t>仁愛西藥房</t>
        </is>
      </c>
      <c r="C124" s="3" t="inlineStr"/>
      <c r="D124" s="3" t="inlineStr">
        <is>
          <t>973花蓮縣吉安鄉仁和村海岸路202號</t>
        </is>
      </c>
      <c r="E124" s="4" t="n">
        <v>1</v>
      </c>
      <c r="F124" s="4" t="inlineStr">
        <is>
          <t>大法</t>
        </is>
      </c>
      <c r="G124" s="5">
        <f>HYPERLINK("#'大法原始資料'!A17", "11507080017")</f>
        <v/>
      </c>
      <c r="H124" s="4" t="inlineStr">
        <is>
          <t>DL01166162</t>
        </is>
      </c>
      <c r="I124" s="6" t="inlineStr"/>
    </row>
  </sheetData>
  <mergeCells count="135">
    <mergeCell ref="C30:C31"/>
    <mergeCell ref="E39:E40"/>
    <mergeCell ref="B43:B44"/>
    <mergeCell ref="B12:B13"/>
    <mergeCell ref="A51:A52"/>
    <mergeCell ref="C94:C95"/>
    <mergeCell ref="B108:B110"/>
    <mergeCell ref="A105:A106"/>
    <mergeCell ref="B84:B86"/>
    <mergeCell ref="D36:D37"/>
    <mergeCell ref="A121:A123"/>
    <mergeCell ref="B45:B47"/>
    <mergeCell ref="A71:A72"/>
    <mergeCell ref="C71:C72"/>
    <mergeCell ref="E65:E66"/>
    <mergeCell ref="E121:E123"/>
    <mergeCell ref="A24:A26"/>
    <mergeCell ref="E49:E50"/>
    <mergeCell ref="C24:C26"/>
    <mergeCell ref="D84:D86"/>
    <mergeCell ref="C105:C106"/>
    <mergeCell ref="D71:D72"/>
    <mergeCell ref="C43:C44"/>
    <mergeCell ref="B80:B81"/>
    <mergeCell ref="E105:E106"/>
    <mergeCell ref="A15:A19"/>
    <mergeCell ref="A84:A86"/>
    <mergeCell ref="A116:A117"/>
    <mergeCell ref="E60:E62"/>
    <mergeCell ref="A108:A110"/>
    <mergeCell ref="A53:A54"/>
    <mergeCell ref="E12:E13"/>
    <mergeCell ref="B56:B57"/>
    <mergeCell ref="E108:E110"/>
    <mergeCell ref="C84:C86"/>
    <mergeCell ref="E84:E86"/>
    <mergeCell ref="D121:D123"/>
    <mergeCell ref="D49:D50"/>
    <mergeCell ref="E45:E47"/>
    <mergeCell ref="C4:C5"/>
    <mergeCell ref="E4:E5"/>
    <mergeCell ref="B58:B59"/>
    <mergeCell ref="B74:B76"/>
    <mergeCell ref="A65:A66"/>
    <mergeCell ref="C65:C66"/>
    <mergeCell ref="A56:A57"/>
    <mergeCell ref="C56:C57"/>
    <mergeCell ref="B116:B117"/>
    <mergeCell ref="D116:D117"/>
    <mergeCell ref="D12:D13"/>
    <mergeCell ref="C15:C19"/>
    <mergeCell ref="B53:B54"/>
    <mergeCell ref="D53:D54"/>
    <mergeCell ref="D9:D10"/>
    <mergeCell ref="C51:C52"/>
    <mergeCell ref="E24:E26"/>
    <mergeCell ref="A60:A62"/>
    <mergeCell ref="B30:B31"/>
    <mergeCell ref="D30:D31"/>
    <mergeCell ref="D39:D40"/>
    <mergeCell ref="A43:A44"/>
    <mergeCell ref="A9:A10"/>
    <mergeCell ref="A74:A76"/>
    <mergeCell ref="A39:A40"/>
    <mergeCell ref="B94:B95"/>
    <mergeCell ref="D94:D95"/>
    <mergeCell ref="A49:A50"/>
    <mergeCell ref="C58:C59"/>
    <mergeCell ref="C49:C50"/>
    <mergeCell ref="E58:E59"/>
    <mergeCell ref="C116:C117"/>
    <mergeCell ref="E74:E76"/>
    <mergeCell ref="A94:A95"/>
    <mergeCell ref="B71:B72"/>
    <mergeCell ref="C67:C69"/>
    <mergeCell ref="D65:D66"/>
    <mergeCell ref="E51:E52"/>
    <mergeCell ref="D74:D76"/>
    <mergeCell ref="D80:D81"/>
    <mergeCell ref="A36:A37"/>
    <mergeCell ref="B24:B26"/>
    <mergeCell ref="D24:D26"/>
    <mergeCell ref="B105:B106"/>
    <mergeCell ref="D67:D69"/>
    <mergeCell ref="A80:A81"/>
    <mergeCell ref="D105:D106"/>
    <mergeCell ref="C80:C81"/>
    <mergeCell ref="A12:A13"/>
    <mergeCell ref="C12:C13"/>
    <mergeCell ref="E94:E95"/>
    <mergeCell ref="D60:D62"/>
    <mergeCell ref="C108:C110"/>
    <mergeCell ref="C36:C37"/>
    <mergeCell ref="B121:B123"/>
    <mergeCell ref="E30:E31"/>
    <mergeCell ref="B9:B10"/>
    <mergeCell ref="A45:A47"/>
    <mergeCell ref="B49:B50"/>
    <mergeCell ref="C45:C47"/>
    <mergeCell ref="D43:D44"/>
    <mergeCell ref="A4:A5"/>
    <mergeCell ref="B36:B37"/>
    <mergeCell ref="E80:E81"/>
    <mergeCell ref="D108:D110"/>
    <mergeCell ref="C39:C40"/>
    <mergeCell ref="C121:C123"/>
    <mergeCell ref="D45:D47"/>
    <mergeCell ref="E56:E57"/>
    <mergeCell ref="E71:E72"/>
    <mergeCell ref="B4:B5"/>
    <mergeCell ref="A58:A59"/>
    <mergeCell ref="C60:C62"/>
    <mergeCell ref="E43:E44"/>
    <mergeCell ref="E15:E19"/>
    <mergeCell ref="B15:B19"/>
    <mergeCell ref="D15:D19"/>
    <mergeCell ref="C9:C10"/>
    <mergeCell ref="B39:B40"/>
    <mergeCell ref="E9:E10"/>
    <mergeCell ref="A67:A69"/>
    <mergeCell ref="D4:D5"/>
    <mergeCell ref="D56:D57"/>
    <mergeCell ref="C74:C76"/>
    <mergeCell ref="B65:B66"/>
    <mergeCell ref="E36:E37"/>
    <mergeCell ref="E67:E69"/>
    <mergeCell ref="E116:E117"/>
    <mergeCell ref="D58:D59"/>
    <mergeCell ref="C53:C54"/>
    <mergeCell ref="B67:B69"/>
    <mergeCell ref="E53:E54"/>
    <mergeCell ref="B51:B52"/>
    <mergeCell ref="D51:D52"/>
    <mergeCell ref="B60:B62"/>
    <mergeCell ref="A30:A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5" customHeight="1">
      <c r="A1" s="1" t="inlineStr">
        <is>
          <t>併單單號</t>
        </is>
      </c>
      <c r="B1" s="1" t="inlineStr">
        <is>
          <t>(客戶全稱)</t>
        </is>
      </c>
      <c r="C1" s="1" t="inlineStr">
        <is>
          <t>聯絡電話</t>
        </is>
      </c>
      <c r="D1" s="1" t="inlineStr">
        <is>
          <t>地址</t>
        </is>
      </c>
      <c r="E1" s="1" t="inlineStr">
        <is>
          <t>合併單據數量</t>
        </is>
      </c>
      <c r="F1" s="1" t="inlineStr">
        <is>
          <t>來源公司(公司)</t>
        </is>
      </c>
      <c r="G1" s="1" t="inlineStr">
        <is>
          <t>原始單據號碼(來源單號)</t>
        </is>
      </c>
      <c r="H1" s="1" t="inlineStr">
        <is>
          <t>發票號碼</t>
        </is>
      </c>
      <c r="I1" s="1" t="inlineStr">
        <is>
          <t>備註</t>
        </is>
      </c>
    </row>
    <row r="2" ht="20" customHeight="1">
      <c r="A2" s="2" t="inlineStr">
        <is>
          <t>11507080006</t>
        </is>
      </c>
      <c r="B2" s="3" t="inlineStr">
        <is>
          <t>藥幸福藥局</t>
        </is>
      </c>
      <c r="C2" s="3" t="inlineStr">
        <is>
          <t>23778777</t>
        </is>
      </c>
      <c r="D2" s="3" t="inlineStr">
        <is>
          <t>110臺北市信義區吳興街74號1樓</t>
        </is>
      </c>
      <c r="E2" s="4" t="n">
        <v>2</v>
      </c>
      <c r="F2" s="4" t="inlineStr">
        <is>
          <t>拉法</t>
        </is>
      </c>
      <c r="G2" s="5">
        <f>HYPERLINK("#'拉法原始資料'!A7", "11507080006")</f>
        <v/>
      </c>
      <c r="H2" s="4" t="inlineStr">
        <is>
          <t>DM07864855</t>
        </is>
      </c>
      <c r="I2" s="6" t="inlineStr"/>
    </row>
    <row r="3" ht="20" customHeight="1">
      <c r="A3" s="2" t="n"/>
      <c r="B3" s="3" t="n"/>
      <c r="C3" s="3" t="n"/>
      <c r="D3" s="3" t="n"/>
      <c r="E3" s="4" t="n"/>
      <c r="F3" s="4" t="inlineStr">
        <is>
          <t>拉法</t>
        </is>
      </c>
      <c r="G3" s="5">
        <f>HYPERLINK("#'拉法原始資料'!A8", "11507080007")</f>
        <v/>
      </c>
      <c r="H3" s="4" t="inlineStr">
        <is>
          <t>DM07864856</t>
        </is>
      </c>
      <c r="I3" s="6" t="inlineStr"/>
    </row>
    <row r="4" ht="20" customHeight="1">
      <c r="A4" s="7" t="inlineStr">
        <is>
          <t>11507080026</t>
        </is>
      </c>
      <c r="B4" s="8" t="inlineStr">
        <is>
          <t>大愛幸福藥局</t>
        </is>
      </c>
      <c r="C4" s="8" t="inlineStr">
        <is>
          <t>29379977</t>
        </is>
      </c>
      <c r="D4" s="8" t="inlineStr">
        <is>
          <t>116台北市文山區木新路二段221號</t>
        </is>
      </c>
      <c r="E4" s="9" t="n">
        <v>1</v>
      </c>
      <c r="F4" s="9" t="inlineStr">
        <is>
          <t>拉法</t>
        </is>
      </c>
      <c r="G4" s="10">
        <f>HYPERLINK("#'拉法原始資料'!A27", "11507080026")</f>
        <v/>
      </c>
      <c r="H4" s="9" t="inlineStr">
        <is>
          <t>DM07864875</t>
        </is>
      </c>
      <c r="I4" s="11" t="inlineStr">
        <is>
          <t>大愛 （親送）</t>
        </is>
      </c>
    </row>
    <row r="5" ht="20" customHeight="1">
      <c r="A5" s="2" t="inlineStr">
        <is>
          <t>11507080002</t>
        </is>
      </c>
      <c r="B5" s="3" t="inlineStr">
        <is>
          <t>廣欣藥師藥局</t>
        </is>
      </c>
      <c r="C5" s="3" t="inlineStr"/>
      <c r="D5" s="3" t="inlineStr">
        <is>
          <t>220新北巿板橋區雙十路三段44號2樓.</t>
        </is>
      </c>
      <c r="E5" s="4" t="n">
        <v>1</v>
      </c>
      <c r="F5" s="4" t="inlineStr">
        <is>
          <t>拉法</t>
        </is>
      </c>
      <c r="G5" s="5">
        <f>HYPERLINK("#'拉法原始資料'!A3", "11507080002")</f>
        <v/>
      </c>
      <c r="H5" s="4" t="inlineStr">
        <is>
          <t>DM07864851</t>
        </is>
      </c>
      <c r="I5" s="6" t="inlineStr"/>
    </row>
    <row r="6" ht="20" customHeight="1">
      <c r="A6" s="7" t="inlineStr">
        <is>
          <t>11507080027</t>
        </is>
      </c>
      <c r="B6" s="8" t="inlineStr">
        <is>
          <t>廣誠藥師藥局</t>
        </is>
      </c>
      <c r="C6" s="8" t="inlineStr"/>
      <c r="D6" s="8" t="inlineStr">
        <is>
          <t>221新北巿汐止區建成路22號</t>
        </is>
      </c>
      <c r="E6" s="9" t="n">
        <v>1</v>
      </c>
      <c r="F6" s="9" t="inlineStr">
        <is>
          <t>拉法</t>
        </is>
      </c>
      <c r="G6" s="10">
        <f>HYPERLINK("#'拉法原始資料'!A28", "11507080027")</f>
        <v/>
      </c>
      <c r="H6" s="9" t="inlineStr">
        <is>
          <t>DM07864876</t>
        </is>
      </c>
      <c r="I6" s="11" t="inlineStr">
        <is>
          <t>廣誠（親送）</t>
        </is>
      </c>
    </row>
    <row r="7" ht="20" customHeight="1">
      <c r="A7" s="2" t="inlineStr">
        <is>
          <t>11507080004</t>
        </is>
      </c>
      <c r="B7" s="3" t="inlineStr">
        <is>
          <t>進安藥局</t>
        </is>
      </c>
      <c r="C7" s="3" t="inlineStr"/>
      <c r="D7" s="3" t="inlineStr">
        <is>
          <t>237新北市三峽區民生街174號</t>
        </is>
      </c>
      <c r="E7" s="4" t="n">
        <v>1</v>
      </c>
      <c r="F7" s="4" t="inlineStr">
        <is>
          <t>拉法</t>
        </is>
      </c>
      <c r="G7" s="5">
        <f>HYPERLINK("#'拉法原始資料'!A5", "11507080004")</f>
        <v/>
      </c>
      <c r="H7" s="4" t="inlineStr">
        <is>
          <t>DM07864853</t>
        </is>
      </c>
      <c r="I7" s="6" t="inlineStr">
        <is>
          <t>Q</t>
        </is>
      </c>
    </row>
    <row r="8" ht="20" customHeight="1">
      <c r="A8" s="7" t="inlineStr">
        <is>
          <t>11507080032</t>
        </is>
      </c>
      <c r="B8" s="8" t="inlineStr">
        <is>
          <t>泰山藥局</t>
        </is>
      </c>
      <c r="C8" s="8" t="inlineStr">
        <is>
          <t>03-933-4428</t>
        </is>
      </c>
      <c r="D8" s="8" t="inlineStr">
        <is>
          <t>260宜蘭市泰山路415號</t>
        </is>
      </c>
      <c r="E8" s="9" t="n">
        <v>1</v>
      </c>
      <c r="F8" s="9" t="inlineStr">
        <is>
          <t>拉法</t>
        </is>
      </c>
      <c r="G8" s="10">
        <f>HYPERLINK("#'拉法原始資料'!A33", "11507080032")</f>
        <v/>
      </c>
      <c r="H8" s="9" t="inlineStr">
        <is>
          <t>DM07864881</t>
        </is>
      </c>
      <c r="I8" s="11" t="inlineStr">
        <is>
          <t>Q</t>
        </is>
      </c>
    </row>
    <row r="9" ht="20" customHeight="1">
      <c r="A9" s="2" t="inlineStr">
        <is>
          <t>11507080008</t>
        </is>
      </c>
      <c r="B9" s="3" t="inlineStr">
        <is>
          <t>建芳藥局</t>
        </is>
      </c>
      <c r="C9" s="3" t="inlineStr"/>
      <c r="D9" s="3" t="inlineStr">
        <is>
          <t>265宜蘭縣羅東鎮民權路31號</t>
        </is>
      </c>
      <c r="E9" s="4" t="n">
        <v>2</v>
      </c>
      <c r="F9" s="4" t="inlineStr">
        <is>
          <t>拉法</t>
        </is>
      </c>
      <c r="G9" s="5">
        <f>HYPERLINK("#'拉法原始資料'!A9", "11507080008")</f>
        <v/>
      </c>
      <c r="H9" s="4" t="inlineStr">
        <is>
          <t>DM07864857</t>
        </is>
      </c>
      <c r="I9" s="6" t="inlineStr"/>
    </row>
    <row r="10" ht="20" customHeight="1">
      <c r="A10" s="2" t="n"/>
      <c r="B10" s="3" t="n"/>
      <c r="C10" s="3" t="n"/>
      <c r="D10" s="3" t="n"/>
      <c r="E10" s="4" t="n"/>
      <c r="F10" s="4" t="inlineStr">
        <is>
          <t>拉法</t>
        </is>
      </c>
      <c r="G10" s="5">
        <f>HYPERLINK("#'拉法原始資料'!A10", "11507080009")</f>
        <v/>
      </c>
      <c r="H10" s="4" t="inlineStr">
        <is>
          <t>DM07864858</t>
        </is>
      </c>
      <c r="I10" s="6" t="inlineStr"/>
    </row>
    <row r="11" ht="20" customHeight="1">
      <c r="A11" s="7" t="inlineStr">
        <is>
          <t>11507080031</t>
        </is>
      </c>
      <c r="B11" s="8" t="inlineStr">
        <is>
          <t>宜安藥師藥局.</t>
        </is>
      </c>
      <c r="C11" s="8" t="inlineStr"/>
      <c r="D11" s="8" t="inlineStr">
        <is>
          <t>337桃園巿大園區中華路34號-金安</t>
        </is>
      </c>
      <c r="E11" s="9" t="n">
        <v>1</v>
      </c>
      <c r="F11" s="9" t="inlineStr">
        <is>
          <t>拉法</t>
        </is>
      </c>
      <c r="G11" s="10">
        <f>HYPERLINK("#'拉法原始資料'!A32", "11507080031")</f>
        <v/>
      </c>
      <c r="H11" s="9" t="inlineStr">
        <is>
          <t>DM07864880</t>
        </is>
      </c>
      <c r="I11" s="11" t="inlineStr">
        <is>
          <t>Q</t>
        </is>
      </c>
    </row>
    <row r="12" ht="20" customHeight="1">
      <c r="A12" s="2" t="inlineStr">
        <is>
          <t>11507080013</t>
        </is>
      </c>
      <c r="B12" s="3" t="inlineStr">
        <is>
          <t>鴻儀藥房</t>
        </is>
      </c>
      <c r="C12" s="3" t="inlineStr"/>
      <c r="D12" s="3" t="inlineStr">
        <is>
          <t>402台中市南區大慶街二段3-4號</t>
        </is>
      </c>
      <c r="E12" s="4" t="n">
        <v>2</v>
      </c>
      <c r="F12" s="4" t="inlineStr">
        <is>
          <t>拉法</t>
        </is>
      </c>
      <c r="G12" s="5">
        <f>HYPERLINK("#'拉法原始資料'!A15", "11507080014")</f>
        <v/>
      </c>
      <c r="H12" s="4" t="inlineStr">
        <is>
          <t>DM07864863</t>
        </is>
      </c>
      <c r="I12" s="6" t="inlineStr"/>
    </row>
    <row r="13" ht="20" customHeight="1">
      <c r="A13" s="2" t="n"/>
      <c r="B13" s="3" t="n"/>
      <c r="C13" s="3" t="n"/>
      <c r="D13" s="3" t="n"/>
      <c r="E13" s="4" t="n"/>
      <c r="F13" s="4" t="inlineStr">
        <is>
          <t>拉法</t>
        </is>
      </c>
      <c r="G13" s="5">
        <f>HYPERLINK("#'拉法原始資料'!A14", "11507080013")</f>
        <v/>
      </c>
      <c r="H13" s="4" t="inlineStr">
        <is>
          <t>DM07864862</t>
        </is>
      </c>
      <c r="I13" s="6" t="inlineStr"/>
    </row>
    <row r="14" ht="20" customHeight="1">
      <c r="A14" s="7" t="inlineStr">
        <is>
          <t>11507080033</t>
        </is>
      </c>
      <c r="B14" s="8" t="inlineStr">
        <is>
          <t>信賢藥局</t>
        </is>
      </c>
      <c r="C14" s="8" t="inlineStr"/>
      <c r="D14" s="8" t="inlineStr">
        <is>
          <t>411台中市太平區中山路二段327號</t>
        </is>
      </c>
      <c r="E14" s="9" t="n">
        <v>1</v>
      </c>
      <c r="F14" s="9" t="inlineStr">
        <is>
          <t>拉法</t>
        </is>
      </c>
      <c r="G14" s="10">
        <f>HYPERLINK("#'拉法原始資料'!A34", "11507080033")</f>
        <v/>
      </c>
      <c r="H14" s="9" t="inlineStr"/>
      <c r="I14" s="11" t="inlineStr">
        <is>
          <t>Q(P)</t>
        </is>
      </c>
    </row>
    <row r="15" ht="20" customHeight="1">
      <c r="A15" s="2" t="inlineStr">
        <is>
          <t>11507080001</t>
        </is>
      </c>
      <c r="B15" s="3" t="inlineStr">
        <is>
          <t>聖康佳禾藥局</t>
        </is>
      </c>
      <c r="C15" s="3" t="inlineStr">
        <is>
          <t>0422772065</t>
        </is>
      </c>
      <c r="D15" s="3" t="inlineStr">
        <is>
          <t>411臺中市太平區光興路831號1樓</t>
        </is>
      </c>
      <c r="E15" s="4" t="n">
        <v>1</v>
      </c>
      <c r="F15" s="4" t="inlineStr">
        <is>
          <t>拉法</t>
        </is>
      </c>
      <c r="G15" s="5">
        <f>HYPERLINK("#'拉法原始資料'!A2", "11507080001")</f>
        <v/>
      </c>
      <c r="H15" s="4" t="inlineStr">
        <is>
          <t>DM07864850</t>
        </is>
      </c>
      <c r="I15" s="6" t="inlineStr">
        <is>
          <t>聖康佳禾（親送）</t>
        </is>
      </c>
    </row>
    <row r="16" ht="20" customHeight="1">
      <c r="A16" s="7" t="inlineStr">
        <is>
          <t>11507080012</t>
        </is>
      </c>
      <c r="B16" s="8" t="inlineStr">
        <is>
          <t>大里康媞藥局</t>
        </is>
      </c>
      <c r="C16" s="8" t="inlineStr"/>
      <c r="D16" s="8" t="inlineStr">
        <is>
          <t>412台中市大里區塗城路494號</t>
        </is>
      </c>
      <c r="E16" s="9" t="n">
        <v>1</v>
      </c>
      <c r="F16" s="9" t="inlineStr">
        <is>
          <t>拉法</t>
        </is>
      </c>
      <c r="G16" s="10">
        <f>HYPERLINK("#'拉法原始資料'!A13", "11507080012")</f>
        <v/>
      </c>
      <c r="H16" s="9" t="inlineStr">
        <is>
          <t>DM07864861</t>
        </is>
      </c>
      <c r="I16" s="11" t="inlineStr">
        <is>
          <t>大里康媞（親送）</t>
        </is>
      </c>
    </row>
    <row r="17" ht="20" customHeight="1">
      <c r="A17" s="2" t="inlineStr">
        <is>
          <t>11507080011</t>
        </is>
      </c>
      <c r="B17" s="3" t="inlineStr">
        <is>
          <t>真安大藥局</t>
        </is>
      </c>
      <c r="C17" s="3" t="inlineStr"/>
      <c r="D17" s="3" t="inlineStr">
        <is>
          <t>414台中市烏日區仁德村興祥街3號</t>
        </is>
      </c>
      <c r="E17" s="4" t="n">
        <v>1</v>
      </c>
      <c r="F17" s="4" t="inlineStr">
        <is>
          <t>拉法</t>
        </is>
      </c>
      <c r="G17" s="5">
        <f>HYPERLINK("#'拉法原始資料'!A12", "11507080011")</f>
        <v/>
      </c>
      <c r="H17" s="4" t="inlineStr">
        <is>
          <t>DM07864860</t>
        </is>
      </c>
      <c r="I17" s="6" t="inlineStr">
        <is>
          <t>真安（親送）</t>
        </is>
      </c>
    </row>
    <row r="18" ht="20" customHeight="1">
      <c r="A18" s="7" t="inlineStr">
        <is>
          <t>11507080022</t>
        </is>
      </c>
      <c r="B18" s="8" t="inlineStr">
        <is>
          <t>頭張藥局</t>
        </is>
      </c>
      <c r="C18" s="8" t="inlineStr"/>
      <c r="D18" s="8" t="inlineStr">
        <is>
          <t>427台中市潭子區頭張路一段108號.</t>
        </is>
      </c>
      <c r="E18" s="9" t="n">
        <v>2</v>
      </c>
      <c r="F18" s="9" t="inlineStr">
        <is>
          <t>拉法</t>
        </is>
      </c>
      <c r="G18" s="10">
        <f>HYPERLINK("#'拉法原始資料'!A23", "11507080022")</f>
        <v/>
      </c>
      <c r="H18" s="9" t="inlineStr">
        <is>
          <t>DM07864871</t>
        </is>
      </c>
      <c r="I18" s="11" t="inlineStr">
        <is>
          <t>Q</t>
        </is>
      </c>
    </row>
    <row r="19" ht="20" customHeight="1">
      <c r="A19" s="7" t="n"/>
      <c r="B19" s="8" t="n"/>
      <c r="C19" s="8" t="n"/>
      <c r="D19" s="8" t="n"/>
      <c r="E19" s="9" t="n"/>
      <c r="F19" s="9" t="inlineStr">
        <is>
          <t>拉法</t>
        </is>
      </c>
      <c r="G19" s="10">
        <f>HYPERLINK("#'拉法原始資料'!A24", "11507080023")</f>
        <v/>
      </c>
      <c r="H19" s="9" t="inlineStr">
        <is>
          <t>DM07864872</t>
        </is>
      </c>
      <c r="I19" s="11" t="inlineStr">
        <is>
          <t>Q</t>
        </is>
      </c>
    </row>
    <row r="20" ht="20" customHeight="1">
      <c r="A20" s="2" t="inlineStr">
        <is>
          <t>11507080010</t>
        </is>
      </c>
      <c r="B20" s="3" t="inlineStr">
        <is>
          <t>幸福藥局</t>
        </is>
      </c>
      <c r="C20" s="3" t="inlineStr"/>
      <c r="D20" s="3" t="inlineStr">
        <is>
          <t>545南投縣埔里鎮中正路548號1F</t>
        </is>
      </c>
      <c r="E20" s="4" t="n">
        <v>1</v>
      </c>
      <c r="F20" s="4" t="inlineStr">
        <is>
          <t>拉法</t>
        </is>
      </c>
      <c r="G20" s="5">
        <f>HYPERLINK("#'拉法原始資料'!A11", "11507080010")</f>
        <v/>
      </c>
      <c r="H20" s="4" t="inlineStr">
        <is>
          <t>DM07864859</t>
        </is>
      </c>
      <c r="I20" s="6" t="inlineStr">
        <is>
          <t>幸福（親送）</t>
        </is>
      </c>
    </row>
    <row r="21" ht="20" customHeight="1">
      <c r="A21" s="7" t="inlineStr">
        <is>
          <t>11507080021</t>
        </is>
      </c>
      <c r="B21" s="8" t="inlineStr">
        <is>
          <t>新生活藥局</t>
        </is>
      </c>
      <c r="C21" s="8" t="inlineStr">
        <is>
          <t>052210338</t>
        </is>
      </c>
      <c r="D21" s="8" t="inlineStr">
        <is>
          <t>600嘉義市東區忠孝北街198號</t>
        </is>
      </c>
      <c r="E21" s="9" t="n">
        <v>1</v>
      </c>
      <c r="F21" s="9" t="inlineStr">
        <is>
          <t>拉法</t>
        </is>
      </c>
      <c r="G21" s="10">
        <f>HYPERLINK("#'拉法原始資料'!A22", "11507080021")</f>
        <v/>
      </c>
      <c r="H21" s="9" t="inlineStr">
        <is>
          <t>DM07864870</t>
        </is>
      </c>
      <c r="I21" s="11" t="inlineStr">
        <is>
          <t>新生活 親送</t>
        </is>
      </c>
    </row>
    <row r="22" ht="20" customHeight="1">
      <c r="A22" s="2" t="inlineStr">
        <is>
          <t>11507080017</t>
        </is>
      </c>
      <c r="B22" s="3" t="inlineStr">
        <is>
          <t>弘安醫藥有限公司</t>
        </is>
      </c>
      <c r="C22" s="3" t="inlineStr"/>
      <c r="D22" s="3" t="inlineStr">
        <is>
          <t>608嘉義縣水上鄉寬士村崎仔頭1-1300號.-倉庫及辦公室</t>
        </is>
      </c>
      <c r="E22" s="4" t="n">
        <v>1</v>
      </c>
      <c r="F22" s="4" t="inlineStr">
        <is>
          <t>拉法</t>
        </is>
      </c>
      <c r="G22" s="5">
        <f>HYPERLINK("#'拉法原始資料'!A18", "11507080017")</f>
        <v/>
      </c>
      <c r="H22" s="4" t="inlineStr">
        <is>
          <t>DM07864866</t>
        </is>
      </c>
      <c r="I22" s="6" t="inlineStr">
        <is>
          <t>編號20260706313</t>
        </is>
      </c>
    </row>
    <row r="23" ht="20" customHeight="1">
      <c r="A23" s="7" t="inlineStr">
        <is>
          <t>11507080018</t>
        </is>
      </c>
      <c r="B23" s="8" t="inlineStr">
        <is>
          <t>順康藥局</t>
        </is>
      </c>
      <c r="C23" s="8" t="inlineStr"/>
      <c r="D23" s="8" t="inlineStr">
        <is>
          <t>806高雄巿前鎮區一心二路67號</t>
        </is>
      </c>
      <c r="E23" s="9" t="n">
        <v>1</v>
      </c>
      <c r="F23" s="9" t="inlineStr">
        <is>
          <t>拉法</t>
        </is>
      </c>
      <c r="G23" s="10">
        <f>HYPERLINK("#'拉法原始資料'!A19", "11507080018")</f>
        <v/>
      </c>
      <c r="H23" s="9" t="inlineStr">
        <is>
          <t>DM07864867</t>
        </is>
      </c>
      <c r="I23" s="11" t="inlineStr"/>
    </row>
    <row r="24" ht="20" customHeight="1">
      <c r="A24" s="2" t="inlineStr">
        <is>
          <t>11507080019</t>
        </is>
      </c>
      <c r="B24" s="3" t="inlineStr">
        <is>
          <t>安泰藥局</t>
        </is>
      </c>
      <c r="C24" s="3" t="inlineStr"/>
      <c r="D24" s="3" t="inlineStr">
        <is>
          <t>831高雄市大寮區鳳林三路835號</t>
        </is>
      </c>
      <c r="E24" s="4" t="n">
        <v>2</v>
      </c>
      <c r="F24" s="4" t="inlineStr">
        <is>
          <t>拉法</t>
        </is>
      </c>
      <c r="G24" s="5">
        <f>HYPERLINK("#'拉法原始資料'!A20", "11507080019")</f>
        <v/>
      </c>
      <c r="H24" s="4" t="inlineStr">
        <is>
          <t>DM07864868</t>
        </is>
      </c>
      <c r="I24" s="6" t="inlineStr"/>
    </row>
    <row r="25" ht="20" customHeight="1">
      <c r="A25" s="2" t="n"/>
      <c r="B25" s="3" t="n"/>
      <c r="C25" s="3" t="n"/>
      <c r="D25" s="3" t="n"/>
      <c r="E25" s="4" t="n"/>
      <c r="F25" s="4" t="inlineStr">
        <is>
          <t>拉法</t>
        </is>
      </c>
      <c r="G25" s="5">
        <f>HYPERLINK("#'拉法原始資料'!A21", "11507080020")</f>
        <v/>
      </c>
      <c r="H25" s="4" t="inlineStr">
        <is>
          <t>DM07864869</t>
        </is>
      </c>
      <c r="I25" s="6" t="inlineStr"/>
    </row>
  </sheetData>
  <mergeCells count="25">
    <mergeCell ref="A24:A25"/>
    <mergeCell ref="B12:B13"/>
    <mergeCell ref="B18:B19"/>
    <mergeCell ref="B2:B3"/>
    <mergeCell ref="D2:D3"/>
    <mergeCell ref="C9:C10"/>
    <mergeCell ref="E9:E10"/>
    <mergeCell ref="A12:A13"/>
    <mergeCell ref="C12:C13"/>
    <mergeCell ref="A2:A3"/>
    <mergeCell ref="D12:D13"/>
    <mergeCell ref="C2:C3"/>
    <mergeCell ref="A18:A19"/>
    <mergeCell ref="E2:E3"/>
    <mergeCell ref="B24:B25"/>
    <mergeCell ref="D24:D25"/>
    <mergeCell ref="B9:B10"/>
    <mergeCell ref="D9:D10"/>
    <mergeCell ref="D18:D19"/>
    <mergeCell ref="A9:A10"/>
    <mergeCell ref="E12:E13"/>
    <mergeCell ref="E18:E19"/>
    <mergeCell ref="C24:C25"/>
    <mergeCell ref="C18:C19"/>
    <mergeCell ref="E24:E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單據號碼</t>
        </is>
      </c>
      <c r="B1" s="1" t="inlineStr">
        <is>
          <t>(客戶全稱)</t>
        </is>
      </c>
      <c r="C1" s="1" t="inlineStr">
        <is>
          <t>客戶編號</t>
        </is>
      </c>
      <c r="D1" s="1" t="inlineStr">
        <is>
          <t>聯絡電話</t>
        </is>
      </c>
      <c r="E1" s="1" t="inlineStr">
        <is>
          <t>地址</t>
        </is>
      </c>
      <c r="F1" s="1" t="inlineStr">
        <is>
          <t>發票號碼</t>
        </is>
      </c>
      <c r="G1" s="1" t="inlineStr">
        <is>
          <t>備註</t>
        </is>
      </c>
      <c r="H1" s="1" t="inlineStr">
        <is>
          <t>聯絡職稱</t>
        </is>
      </c>
      <c r="I1" s="1" t="inlineStr">
        <is>
          <t>併單單號</t>
        </is>
      </c>
    </row>
    <row r="2" ht="20" customHeight="1">
      <c r="A2" s="9" t="n">
        <v>11507080001</v>
      </c>
      <c r="B2" s="11" t="inlineStr">
        <is>
          <t>長英藥局</t>
        </is>
      </c>
      <c r="C2" s="9" t="inlineStr">
        <is>
          <t>A-2-830-137-001</t>
        </is>
      </c>
      <c r="D2" s="11" t="inlineStr">
        <is>
          <t>077805002</t>
        </is>
      </c>
      <c r="E2" s="11" t="inlineStr">
        <is>
          <t>830高雄市鳳山市八德路二段267號</t>
        </is>
      </c>
      <c r="F2" s="9" t="inlineStr">
        <is>
          <t>DL01166148</t>
        </is>
      </c>
      <c r="G2" s="11" t="inlineStr">
        <is>
          <t>長英（親送）</t>
        </is>
      </c>
      <c r="H2" s="11" t="n">
        <v/>
      </c>
      <c r="I2" s="7" t="n">
        <v>11507080001</v>
      </c>
    </row>
    <row r="3" ht="20" customHeight="1">
      <c r="A3" s="12" t="n">
        <v>11507080002</v>
      </c>
      <c r="B3" s="13" t="inlineStr">
        <is>
          <t>康揚藥局</t>
        </is>
      </c>
      <c r="C3" s="12" t="inlineStr">
        <is>
          <t>A-2-112-005-001</t>
        </is>
      </c>
      <c r="D3" s="13" t="n">
        <v/>
      </c>
      <c r="E3" s="13" t="inlineStr">
        <is>
          <t>112台北市北投區中和街308號</t>
        </is>
      </c>
      <c r="F3" s="12" t="inlineStr">
        <is>
          <t>DL01166149</t>
        </is>
      </c>
      <c r="G3" s="13" t="inlineStr">
        <is>
          <t>Q(P)</t>
        </is>
      </c>
      <c r="H3" s="13" t="n">
        <v/>
      </c>
      <c r="I3" s="14" t="n">
        <v>11507080002</v>
      </c>
    </row>
    <row r="4" ht="20" customHeight="1">
      <c r="A4" s="9" t="n">
        <v>11507080003</v>
      </c>
      <c r="B4" s="11" t="inlineStr">
        <is>
          <t>九德藥局</t>
        </is>
      </c>
      <c r="C4" s="9" t="inlineStr">
        <is>
          <t>A-1-338-018-001</t>
        </is>
      </c>
      <c r="D4" s="11" t="n">
        <v/>
      </c>
      <c r="E4" s="11" t="inlineStr">
        <is>
          <t>338桃園巿蘆竹區中山路69號</t>
        </is>
      </c>
      <c r="F4" s="9" t="inlineStr">
        <is>
          <t>DL01166150</t>
        </is>
      </c>
      <c r="G4" s="11" t="n">
        <v/>
      </c>
      <c r="H4" s="11" t="n">
        <v/>
      </c>
      <c r="I4" s="7" t="n">
        <v>11507080003</v>
      </c>
    </row>
    <row r="5" ht="20" customHeight="1">
      <c r="A5" s="12" t="n">
        <v>11507080005</v>
      </c>
      <c r="B5" s="13" t="inlineStr">
        <is>
          <t>真安大藥局</t>
        </is>
      </c>
      <c r="C5" s="12" t="inlineStr">
        <is>
          <t>A-1-414-005-001</t>
        </is>
      </c>
      <c r="D5" s="13" t="n">
        <v/>
      </c>
      <c r="E5" s="13" t="inlineStr">
        <is>
          <t>414台中市烏日區仁德村興祥街3號</t>
        </is>
      </c>
      <c r="F5" s="12" t="inlineStr">
        <is>
          <t>DL01166152</t>
        </is>
      </c>
      <c r="G5" s="13" t="n">
        <v/>
      </c>
      <c r="H5" s="13" t="n">
        <v/>
      </c>
      <c r="I5" s="14" t="n">
        <v>11507080005</v>
      </c>
    </row>
    <row r="6" ht="20" customHeight="1">
      <c r="A6" s="9" t="n">
        <v>11507080006</v>
      </c>
      <c r="B6" s="11" t="inlineStr">
        <is>
          <t>大甲福倫藥局</t>
        </is>
      </c>
      <c r="C6" s="9" t="inlineStr">
        <is>
          <t>T-0-437-022-001</t>
        </is>
      </c>
      <c r="D6" s="11" t="n">
        <v/>
      </c>
      <c r="E6" s="11" t="inlineStr">
        <is>
          <t>437台中市大甲區蔣公路202號</t>
        </is>
      </c>
      <c r="F6" s="9" t="inlineStr">
        <is>
          <t>DL01166153</t>
        </is>
      </c>
      <c r="G6" s="11" t="n">
        <v/>
      </c>
      <c r="H6" s="11" t="n">
        <v/>
      </c>
      <c r="I6" s="7" t="n">
        <v>11507080006</v>
      </c>
    </row>
    <row r="7" ht="20" customHeight="1">
      <c r="A7" s="12" t="n">
        <v>11507080007</v>
      </c>
      <c r="B7" s="13" t="inlineStr">
        <is>
          <t>元興藥局</t>
        </is>
      </c>
      <c r="C7" s="12" t="inlineStr">
        <is>
          <t>T-0-413-001-001</t>
        </is>
      </c>
      <c r="D7" s="13" t="n">
        <v/>
      </c>
      <c r="E7" s="13" t="inlineStr">
        <is>
          <t>413台中市霧峰區中正路970號</t>
        </is>
      </c>
      <c r="F7" s="12" t="inlineStr">
        <is>
          <t>DL01166154</t>
        </is>
      </c>
      <c r="G7" s="13" t="n">
        <v/>
      </c>
      <c r="H7" s="13" t="n">
        <v/>
      </c>
      <c r="I7" s="14" t="n">
        <v>11507080007</v>
      </c>
    </row>
    <row r="8" ht="20" customHeight="1">
      <c r="A8" s="9" t="n">
        <v>11507080008</v>
      </c>
      <c r="B8" s="11" t="inlineStr">
        <is>
          <t>伸港藥局</t>
        </is>
      </c>
      <c r="C8" s="9" t="inlineStr">
        <is>
          <t>T-0-509-009-001</t>
        </is>
      </c>
      <c r="D8" s="11" t="n">
        <v/>
      </c>
      <c r="E8" s="11" t="inlineStr">
        <is>
          <t>509彰化縣伸港鄉信義路135號</t>
        </is>
      </c>
      <c r="F8" s="9" t="inlineStr">
        <is>
          <t>DL01166155</t>
        </is>
      </c>
      <c r="G8" s="11" t="n">
        <v/>
      </c>
      <c r="H8" s="11" t="n">
        <v/>
      </c>
      <c r="I8" s="7" t="n">
        <v>11507080008</v>
      </c>
    </row>
    <row r="9" ht="20" customHeight="1">
      <c r="A9" s="12" t="n">
        <v>11507080009</v>
      </c>
      <c r="B9" s="13" t="inlineStr">
        <is>
          <t>昶欣藥局</t>
        </is>
      </c>
      <c r="C9" s="12" t="inlineStr">
        <is>
          <t>A-1-700-043-001</t>
        </is>
      </c>
      <c r="D9" s="13" t="n">
        <v/>
      </c>
      <c r="E9" s="13" t="inlineStr">
        <is>
          <t>700台南巿中西區西賢一街110號</t>
        </is>
      </c>
      <c r="F9" s="12" t="inlineStr">
        <is>
          <t>DL01166156</t>
        </is>
      </c>
      <c r="G9" s="13" t="n">
        <v/>
      </c>
      <c r="H9" s="13" t="n">
        <v/>
      </c>
      <c r="I9" s="14" t="n">
        <v>11507080009</v>
      </c>
    </row>
    <row r="10" ht="20" customHeight="1">
      <c r="A10" s="9" t="n">
        <v>11507080010</v>
      </c>
      <c r="B10" s="11" t="inlineStr">
        <is>
          <t>心美日藥局</t>
        </is>
      </c>
      <c r="C10" s="9" t="inlineStr">
        <is>
          <t>A-2-420-020-001</t>
        </is>
      </c>
      <c r="D10" s="11" t="n">
        <v/>
      </c>
      <c r="E10" s="11" t="inlineStr">
        <is>
          <t>420台中市豐原區中山路357號2樓</t>
        </is>
      </c>
      <c r="F10" s="9" t="inlineStr">
        <is>
          <t>DL01166157</t>
        </is>
      </c>
      <c r="G10" s="11" t="n">
        <v/>
      </c>
      <c r="H10" s="11" t="n">
        <v/>
      </c>
      <c r="I10" s="7" t="n">
        <v>11507080010</v>
      </c>
    </row>
    <row r="11" ht="20" customHeight="1">
      <c r="A11" s="12" t="n">
        <v>11507080011</v>
      </c>
      <c r="B11" s="13" t="inlineStr">
        <is>
          <t>廣元藥局</t>
        </is>
      </c>
      <c r="C11" s="12" t="inlineStr">
        <is>
          <t>A-2-600-064-001</t>
        </is>
      </c>
      <c r="D11" s="13" t="n">
        <v/>
      </c>
      <c r="E11" s="13" t="inlineStr">
        <is>
          <t>600嘉義市中正路697號</t>
        </is>
      </c>
      <c r="F11" s="12" t="inlineStr">
        <is>
          <t>DL01166158</t>
        </is>
      </c>
      <c r="G11" s="13" t="n">
        <v/>
      </c>
      <c r="H11" s="13" t="n">
        <v/>
      </c>
      <c r="I11" s="14" t="n">
        <v>11507080011</v>
      </c>
    </row>
    <row r="12" ht="20" customHeight="1">
      <c r="A12" s="9" t="n">
        <v>11507080012</v>
      </c>
      <c r="B12" s="11" t="inlineStr">
        <is>
          <t>廣元藥局</t>
        </is>
      </c>
      <c r="C12" s="9" t="inlineStr">
        <is>
          <t>T-0-600-009-001</t>
        </is>
      </c>
      <c r="D12" s="11" t="n">
        <v/>
      </c>
      <c r="E12" s="11" t="inlineStr">
        <is>
          <t>600嘉義市中正路697號</t>
        </is>
      </c>
      <c r="F12" s="9" t="inlineStr">
        <is>
          <t>DL01166159</t>
        </is>
      </c>
      <c r="G12" s="11" t="n">
        <v/>
      </c>
      <c r="H12" s="11" t="n">
        <v/>
      </c>
      <c r="I12" s="7" t="n">
        <v>11507080011</v>
      </c>
    </row>
    <row r="13" ht="20" customHeight="1">
      <c r="A13" s="12" t="n">
        <v>11507080013</v>
      </c>
      <c r="B13" s="13" t="inlineStr">
        <is>
          <t>弘安醫藥有限公司</t>
        </is>
      </c>
      <c r="C13" s="12" t="inlineStr">
        <is>
          <t>A-2-600-028-001</t>
        </is>
      </c>
      <c r="D13" s="13" t="n">
        <v/>
      </c>
      <c r="E13" s="13" t="inlineStr">
        <is>
          <t>608嘉義縣水上鄉寬士村崎仔頭1-1300號</t>
        </is>
      </c>
      <c r="F13" s="12" t="inlineStr">
        <is>
          <t>DL01166160</t>
        </is>
      </c>
      <c r="G13" s="13" t="inlineStr">
        <is>
          <t>編號：20260706314</t>
        </is>
      </c>
      <c r="H13" s="13" t="n">
        <v/>
      </c>
      <c r="I13" s="14" t="n">
        <v>11507080013</v>
      </c>
    </row>
    <row r="14" ht="20" customHeight="1">
      <c r="A14" s="9" t="n">
        <v>11507080014</v>
      </c>
      <c r="B14" s="11" t="inlineStr">
        <is>
          <t>中興中西藥局</t>
        </is>
      </c>
      <c r="C14" s="9" t="inlineStr">
        <is>
          <t>A-2-600-018-001</t>
        </is>
      </c>
      <c r="D14" s="11" t="n">
        <v/>
      </c>
      <c r="E14" s="11" t="inlineStr">
        <is>
          <t>600嘉義市垂楊路501號</t>
        </is>
      </c>
      <c r="F14" s="9" t="inlineStr">
        <is>
          <t>DL01166244</t>
        </is>
      </c>
      <c r="G14" s="11" t="n">
        <v/>
      </c>
      <c r="H14" s="11" t="n">
        <v/>
      </c>
      <c r="I14" s="7" t="n">
        <v>11507080014</v>
      </c>
    </row>
    <row r="15" ht="20" customHeight="1">
      <c r="A15" s="12" t="n">
        <v>11507080015</v>
      </c>
      <c r="B15" s="13" t="inlineStr">
        <is>
          <t>譽達藥局</t>
        </is>
      </c>
      <c r="C15" s="12" t="inlineStr">
        <is>
          <t>A-1-324-029-001</t>
        </is>
      </c>
      <c r="D15" s="13" t="n">
        <v/>
      </c>
      <c r="E15" s="13" t="inlineStr">
        <is>
          <t>324桃園巿平鎮區育達路240號１樓</t>
        </is>
      </c>
      <c r="F15" s="12" t="inlineStr">
        <is>
          <t>DL01165355</t>
        </is>
      </c>
      <c r="G15" s="13" t="inlineStr">
        <is>
          <t>譽達 （請開2聯式發票）</t>
        </is>
      </c>
      <c r="H15" s="13" t="n">
        <v/>
      </c>
      <c r="I15" s="14" t="n">
        <v>11507080015</v>
      </c>
    </row>
    <row r="16" ht="20" customHeight="1">
      <c r="A16" s="9" t="n">
        <v>11507080016</v>
      </c>
      <c r="B16" s="11" t="inlineStr">
        <is>
          <t>祥祐藥局</t>
        </is>
      </c>
      <c r="C16" s="9" t="inlineStr">
        <is>
          <t>A-2-237-024-001</t>
        </is>
      </c>
      <c r="D16" s="11" t="n">
        <v/>
      </c>
      <c r="E16" s="11" t="inlineStr">
        <is>
          <t>237新北市三峽區文化路125號1F</t>
        </is>
      </c>
      <c r="F16" s="9" t="inlineStr">
        <is>
          <t>DL01166161</t>
        </is>
      </c>
      <c r="G16" s="11" t="inlineStr">
        <is>
          <t>Q</t>
        </is>
      </c>
      <c r="H16" s="11" t="n">
        <v/>
      </c>
      <c r="I16" s="7" t="n">
        <v>11507080003</v>
      </c>
    </row>
    <row r="17" ht="20" customHeight="1">
      <c r="A17" s="12" t="n">
        <v>11507080017</v>
      </c>
      <c r="B17" s="13" t="inlineStr">
        <is>
          <t>仁愛西藥房</t>
        </is>
      </c>
      <c r="C17" s="12" t="inlineStr">
        <is>
          <t>A-2-973-006-001</t>
        </is>
      </c>
      <c r="D17" s="13" t="n">
        <v/>
      </c>
      <c r="E17" s="13" t="inlineStr">
        <is>
          <t>973花蓮縣吉安鄉仁和村海岸路202號</t>
        </is>
      </c>
      <c r="F17" s="12" t="inlineStr">
        <is>
          <t>DL01166162</t>
        </is>
      </c>
      <c r="G17" s="13" t="n">
        <v/>
      </c>
      <c r="H17" s="13" t="n">
        <v/>
      </c>
      <c r="I17" s="14" t="n">
        <v>11507080017</v>
      </c>
    </row>
    <row r="18" ht="20" customHeight="1">
      <c r="A18" s="9" t="n">
        <v>11507080018</v>
      </c>
      <c r="B18" s="11" t="inlineStr">
        <is>
          <t>文化藥師藥局</t>
        </is>
      </c>
      <c r="C18" s="9" t="inlineStr">
        <is>
          <t>A-2-260-020-001</t>
        </is>
      </c>
      <c r="D18" s="11" t="n">
        <v/>
      </c>
      <c r="E18" s="11" t="inlineStr">
        <is>
          <t>260宜蘭市復興路一段131號</t>
        </is>
      </c>
      <c r="F18" s="9" t="inlineStr">
        <is>
          <t>DL01166163</t>
        </is>
      </c>
      <c r="G18" s="11" t="n">
        <v/>
      </c>
      <c r="H18" s="11" t="n">
        <v/>
      </c>
      <c r="I18" s="7" t="n">
        <v>11507080018</v>
      </c>
    </row>
    <row r="19" ht="20" customHeight="1">
      <c r="A19" s="12" t="n">
        <v>11507080019</v>
      </c>
      <c r="B19" s="13" t="inlineStr">
        <is>
          <t>文化藥師藥局</t>
        </is>
      </c>
      <c r="C19" s="12" t="inlineStr">
        <is>
          <t>T-0-260-020-001</t>
        </is>
      </c>
      <c r="D19" s="13" t="n">
        <v/>
      </c>
      <c r="E19" s="13" t="inlineStr">
        <is>
          <t>260宜蘭市復興路1段131號</t>
        </is>
      </c>
      <c r="F19" s="12" t="inlineStr">
        <is>
          <t>DL01166164</t>
        </is>
      </c>
      <c r="G19" s="13" t="n">
        <v/>
      </c>
      <c r="H19" s="13" t="n">
        <v/>
      </c>
      <c r="I19" s="14" t="n">
        <v>11507080019</v>
      </c>
    </row>
    <row r="20" ht="20" customHeight="1">
      <c r="A20" s="9" t="n">
        <v>11507080020</v>
      </c>
      <c r="B20" s="11" t="inlineStr">
        <is>
          <t>進安大藥局</t>
        </is>
      </c>
      <c r="C20" s="9" t="inlineStr">
        <is>
          <t>A-1-237-006-001</t>
        </is>
      </c>
      <c r="D20" s="11" t="n">
        <v/>
      </c>
      <c r="E20" s="11" t="inlineStr">
        <is>
          <t>237新北市三峽區民生街174號(1樓)</t>
        </is>
      </c>
      <c r="F20" s="9" t="inlineStr">
        <is>
          <t>DL01166165</t>
        </is>
      </c>
      <c r="G20" s="11" t="inlineStr">
        <is>
          <t>Q</t>
        </is>
      </c>
      <c r="H20" s="11" t="n">
        <v/>
      </c>
      <c r="I20" s="7" t="n">
        <v>11507080020</v>
      </c>
    </row>
    <row r="21" ht="20" customHeight="1">
      <c r="A21" s="12" t="n">
        <v>11507080021</v>
      </c>
      <c r="B21" s="13" t="inlineStr">
        <is>
          <t>家佑藥師藥局</t>
        </is>
      </c>
      <c r="C21" s="12" t="inlineStr">
        <is>
          <t>A-1-333-046-001</t>
        </is>
      </c>
      <c r="D21" s="13" t="inlineStr">
        <is>
          <t>03-328-0055</t>
        </is>
      </c>
      <c r="E21" s="13" t="inlineStr">
        <is>
          <t>333桃園縣龜山鄉文化二路30-1號</t>
        </is>
      </c>
      <c r="F21" s="12" t="inlineStr">
        <is>
          <t>DL01166166</t>
        </is>
      </c>
      <c r="G21" s="13" t="inlineStr">
        <is>
          <t>Q</t>
        </is>
      </c>
      <c r="H21" s="13" t="n">
        <v/>
      </c>
      <c r="I21" s="14" t="n">
        <v>11507080005</v>
      </c>
    </row>
    <row r="22" ht="20" customHeight="1">
      <c r="A22" s="9" t="n">
        <v>11507080022</v>
      </c>
      <c r="B22" s="11" t="inlineStr">
        <is>
          <t>家佑藥師藥局</t>
        </is>
      </c>
      <c r="C22" s="9" t="inlineStr">
        <is>
          <t>T-0-333-045-001</t>
        </is>
      </c>
      <c r="D22" s="11" t="inlineStr">
        <is>
          <t>03-328-0055</t>
        </is>
      </c>
      <c r="E22" s="11" t="inlineStr">
        <is>
          <t>333桃園縣龜山鄉文化二路30-1號</t>
        </is>
      </c>
      <c r="F22" s="9" t="inlineStr">
        <is>
          <t>DL01166167</t>
        </is>
      </c>
      <c r="G22" s="11" t="inlineStr">
        <is>
          <t>Q</t>
        </is>
      </c>
      <c r="H22" s="11" t="n">
        <v/>
      </c>
      <c r="I22" s="7" t="n">
        <v>11507080005</v>
      </c>
    </row>
    <row r="23" ht="20" customHeight="1">
      <c r="A23" s="12" t="n">
        <v>11507080023</v>
      </c>
      <c r="B23" s="13" t="inlineStr">
        <is>
          <t>家宏藥局</t>
        </is>
      </c>
      <c r="C23" s="12" t="inlineStr">
        <is>
          <t>A-2-234-070-001</t>
        </is>
      </c>
      <c r="D23" s="13" t="n">
        <v/>
      </c>
      <c r="E23" s="13" t="inlineStr">
        <is>
          <t>234新北市永和區成功路二段123號</t>
        </is>
      </c>
      <c r="F23" s="12" t="inlineStr">
        <is>
          <t>DL01166168</t>
        </is>
      </c>
      <c r="G23" s="13" t="n">
        <v/>
      </c>
      <c r="H23" s="13" t="n">
        <v/>
      </c>
      <c r="I23" s="14" t="n">
        <v>11507080023</v>
      </c>
    </row>
    <row r="24" ht="20" customHeight="1">
      <c r="A24" s="9" t="n">
        <v>11507080024</v>
      </c>
      <c r="B24" s="11" t="inlineStr">
        <is>
          <t>麗暉藥師藥局</t>
        </is>
      </c>
      <c r="C24" s="9" t="inlineStr">
        <is>
          <t>A-1-730-018-001</t>
        </is>
      </c>
      <c r="D24" s="11" t="n">
        <v/>
      </c>
      <c r="E24" s="11" t="inlineStr">
        <is>
          <t>730台南市新營區民權路66號1F</t>
        </is>
      </c>
      <c r="F24" s="9" t="inlineStr">
        <is>
          <t>DL01166169</t>
        </is>
      </c>
      <c r="G24" s="11" t="inlineStr">
        <is>
          <t xml:space="preserve"> 麗暉(急件)</t>
        </is>
      </c>
      <c r="H24" s="11" t="n">
        <v/>
      </c>
      <c r="I24" s="7" t="n">
        <v>11507080024</v>
      </c>
    </row>
    <row r="25" ht="20" customHeight="1">
      <c r="A25" s="12" t="n">
        <v>11507080025</v>
      </c>
      <c r="B25" s="13" t="inlineStr">
        <is>
          <t>真善美連鎖-証云有限公司</t>
        </is>
      </c>
      <c r="C25" s="12" t="inlineStr">
        <is>
          <t>T-0-303-003-001</t>
        </is>
      </c>
      <c r="D25" s="13" t="n">
        <v/>
      </c>
      <c r="E25" s="13" t="inlineStr">
        <is>
          <t>303新竹縣湖口鄉瑞祥街41號2F</t>
        </is>
      </c>
      <c r="F25" s="12" t="inlineStr">
        <is>
          <t>DL01166170</t>
        </is>
      </c>
      <c r="G25" s="13" t="n">
        <v/>
      </c>
      <c r="H25" s="13" t="n">
        <v/>
      </c>
      <c r="I25" s="14" t="n">
        <v>11507080025</v>
      </c>
    </row>
    <row r="26" ht="20" customHeight="1">
      <c r="A26" s="9" t="n">
        <v>11507080026</v>
      </c>
      <c r="B26" s="11" t="inlineStr">
        <is>
          <t>真善美連鎖-証云有限公司</t>
        </is>
      </c>
      <c r="C26" s="9" t="inlineStr">
        <is>
          <t>A-2-303-003-001</t>
        </is>
      </c>
      <c r="D26" s="11" t="n">
        <v/>
      </c>
      <c r="E26" s="11" t="inlineStr">
        <is>
          <t>303新竹縣湖口鄉瑞祥街41號2F</t>
        </is>
      </c>
      <c r="F26" s="9" t="inlineStr">
        <is>
          <t>DL01166171</t>
        </is>
      </c>
      <c r="G26" s="11" t="n">
        <v/>
      </c>
      <c r="H26" s="11" t="n">
        <v/>
      </c>
      <c r="I26" s="7" t="n">
        <v>11507080025</v>
      </c>
    </row>
    <row r="27" ht="20" customHeight="1">
      <c r="A27" s="12" t="n">
        <v>11507080027</v>
      </c>
      <c r="B27" s="13" t="inlineStr">
        <is>
          <t>樂樂藥局</t>
        </is>
      </c>
      <c r="C27" s="12" t="inlineStr">
        <is>
          <t>A-1-265-046-001</t>
        </is>
      </c>
      <c r="D27" s="13" t="inlineStr">
        <is>
          <t>03-955-7268</t>
        </is>
      </c>
      <c r="E27" s="13" t="inlineStr">
        <is>
          <t>265宜蘭縣羅東鎮中正南路61號</t>
        </is>
      </c>
      <c r="F27" s="12" t="inlineStr">
        <is>
          <t>DL01166172</t>
        </is>
      </c>
      <c r="G27" s="13" t="n">
        <v/>
      </c>
      <c r="H27" s="13" t="n">
        <v/>
      </c>
      <c r="I27" s="14" t="n">
        <v>11507080027</v>
      </c>
    </row>
    <row r="28" ht="20" customHeight="1">
      <c r="A28" s="9" t="n">
        <v>11507080028</v>
      </c>
      <c r="B28" s="11" t="inlineStr">
        <is>
          <t>樂樂藥局</t>
        </is>
      </c>
      <c r="C28" s="9" t="inlineStr">
        <is>
          <t>T-0-265-035-001</t>
        </is>
      </c>
      <c r="D28" s="11" t="inlineStr">
        <is>
          <t>03-955-7268</t>
        </is>
      </c>
      <c r="E28" s="11" t="inlineStr">
        <is>
          <t>265宜蘭縣羅東鎮中正南路61號</t>
        </is>
      </c>
      <c r="F28" s="9" t="inlineStr">
        <is>
          <t>DL01166173</t>
        </is>
      </c>
      <c r="G28" s="11" t="n">
        <v/>
      </c>
      <c r="H28" s="11" t="n">
        <v/>
      </c>
      <c r="I28" s="7" t="n">
        <v>11507080027</v>
      </c>
    </row>
    <row r="29" ht="20" customHeight="1">
      <c r="A29" s="12" t="n">
        <v>11507080029</v>
      </c>
      <c r="B29" s="13" t="inlineStr">
        <is>
          <t>翰林藥局</t>
        </is>
      </c>
      <c r="C29" s="12" t="inlineStr">
        <is>
          <t>A-2-220-142-001</t>
        </is>
      </c>
      <c r="D29" s="13" t="n">
        <v/>
      </c>
      <c r="E29" s="13" t="inlineStr">
        <is>
          <t>220新北市板橋區中正路240號</t>
        </is>
      </c>
      <c r="F29" s="12" t="inlineStr">
        <is>
          <t>DL01166174</t>
        </is>
      </c>
      <c r="G29" s="13" t="n">
        <v/>
      </c>
      <c r="H29" s="13" t="n">
        <v/>
      </c>
      <c r="I29" s="14" t="n">
        <v>11507080029</v>
      </c>
    </row>
    <row r="30" ht="20" customHeight="1">
      <c r="A30" s="9" t="n">
        <v>11507080030</v>
      </c>
      <c r="B30" s="11" t="inlineStr">
        <is>
          <t>圓滿堂藥局</t>
        </is>
      </c>
      <c r="C30" s="9" t="inlineStr">
        <is>
          <t>A-1-260-011-001</t>
        </is>
      </c>
      <c r="D30" s="11" t="n">
        <v/>
      </c>
      <c r="E30" s="11" t="inlineStr">
        <is>
          <t>260宜蘭市中山路48號</t>
        </is>
      </c>
      <c r="F30" s="9" t="inlineStr">
        <is>
          <t>DL01166175</t>
        </is>
      </c>
      <c r="G30" s="11" t="n">
        <v/>
      </c>
      <c r="H30" s="11" t="n">
        <v/>
      </c>
      <c r="I30" s="7" t="n">
        <v>11507080030</v>
      </c>
    </row>
    <row r="31" ht="20" customHeight="1">
      <c r="A31" s="12" t="n">
        <v>11507080031</v>
      </c>
      <c r="B31" s="13" t="inlineStr">
        <is>
          <t>圓滿堂藥局</t>
        </is>
      </c>
      <c r="C31" s="12" t="inlineStr">
        <is>
          <t>T-0-260-002-001</t>
        </is>
      </c>
      <c r="D31" s="13" t="n">
        <v/>
      </c>
      <c r="E31" s="13" t="inlineStr">
        <is>
          <t>260宜蘭市中山路48號</t>
        </is>
      </c>
      <c r="F31" s="12" t="inlineStr">
        <is>
          <t>DL01166176</t>
        </is>
      </c>
      <c r="G31" s="13" t="n">
        <v/>
      </c>
      <c r="H31" s="13" t="n">
        <v/>
      </c>
      <c r="I31" s="14" t="n">
        <v>11507080030</v>
      </c>
    </row>
    <row r="32" ht="20" customHeight="1">
      <c r="A32" s="9" t="n">
        <v>11507080032</v>
      </c>
      <c r="B32" s="11" t="inlineStr">
        <is>
          <t>新化健保藥局</t>
        </is>
      </c>
      <c r="C32" s="9" t="inlineStr">
        <is>
          <t>T-0-712-017-001</t>
        </is>
      </c>
      <c r="D32" s="11" t="n">
        <v/>
      </c>
      <c r="E32" s="11" t="inlineStr">
        <is>
          <t>712台南市新化區中山路507號</t>
        </is>
      </c>
      <c r="F32" s="9" t="inlineStr">
        <is>
          <t>DL01166177</t>
        </is>
      </c>
      <c r="G32" s="11" t="n">
        <v/>
      </c>
      <c r="H32" s="11" t="n">
        <v/>
      </c>
      <c r="I32" s="7" t="n">
        <v>11507080032</v>
      </c>
    </row>
    <row r="33" ht="20" customHeight="1">
      <c r="A33" s="12" t="n">
        <v>11507080033</v>
      </c>
      <c r="B33" s="13" t="inlineStr">
        <is>
          <t>久億藥局</t>
        </is>
      </c>
      <c r="C33" s="12" t="inlineStr">
        <is>
          <t>A-2-802-047-001</t>
        </is>
      </c>
      <c r="D33" s="13" t="n">
        <v/>
      </c>
      <c r="E33" s="13" t="inlineStr">
        <is>
          <t>806高雄市前鎮區保泰路三五一號</t>
        </is>
      </c>
      <c r="F33" s="12" t="inlineStr">
        <is>
          <t>DL01166178</t>
        </is>
      </c>
      <c r="G33" s="13" t="inlineStr">
        <is>
          <t>P992607060077</t>
        </is>
      </c>
      <c r="H33" s="13" t="n">
        <v/>
      </c>
      <c r="I33" s="14" t="n">
        <v>11507080033</v>
      </c>
    </row>
    <row r="34" ht="20" customHeight="1">
      <c r="A34" s="9" t="n">
        <v>11507080034</v>
      </c>
      <c r="B34" s="11" t="inlineStr">
        <is>
          <t>三馬藥師藥局</t>
        </is>
      </c>
      <c r="C34" s="9" t="inlineStr">
        <is>
          <t>T-0-637-003-001</t>
        </is>
      </c>
      <c r="D34" s="11" t="n">
        <v/>
      </c>
      <c r="E34" s="11" t="inlineStr">
        <is>
          <t>637雲林縣崙背鄉南陽村南光路1-21號</t>
        </is>
      </c>
      <c r="F34" s="9" t="inlineStr">
        <is>
          <t>DL01166179</t>
        </is>
      </c>
      <c r="G34" s="11" t="n">
        <v/>
      </c>
      <c r="H34" s="11" t="n">
        <v/>
      </c>
      <c r="I34" s="7" t="n">
        <v>11507080034</v>
      </c>
    </row>
    <row r="35" ht="20" customHeight="1">
      <c r="A35" s="12" t="n">
        <v>11507080035</v>
      </c>
      <c r="B35" s="13" t="inlineStr">
        <is>
          <t>廣元藥局</t>
        </is>
      </c>
      <c r="C35" s="12" t="inlineStr">
        <is>
          <t>A-1-600-064-001</t>
        </is>
      </c>
      <c r="D35" s="13" t="n">
        <v/>
      </c>
      <c r="E35" s="13" t="inlineStr">
        <is>
          <t>600嘉義市中正路697號</t>
        </is>
      </c>
      <c r="F35" s="12" t="inlineStr">
        <is>
          <t>DL01166180</t>
        </is>
      </c>
      <c r="G35" s="13" t="n">
        <v/>
      </c>
      <c r="H35" s="13" t="n">
        <v/>
      </c>
      <c r="I35" s="14" t="n">
        <v>11507080011</v>
      </c>
    </row>
    <row r="36" ht="20" customHeight="1">
      <c r="A36" s="9" t="n">
        <v>11507080036</v>
      </c>
      <c r="B36" s="11" t="inlineStr">
        <is>
          <t>士凱藥局</t>
        </is>
      </c>
      <c r="C36" s="9" t="inlineStr">
        <is>
          <t>A-2-813-060-001</t>
        </is>
      </c>
      <c r="D36" s="11" t="n">
        <v/>
      </c>
      <c r="E36" s="11" t="inlineStr">
        <is>
          <t>813高雄市左營區孟子路178號</t>
        </is>
      </c>
      <c r="F36" s="9" t="inlineStr">
        <is>
          <t>DL01166181</t>
        </is>
      </c>
      <c r="G36" s="11" t="n">
        <v/>
      </c>
      <c r="H36" s="11" t="n">
        <v/>
      </c>
      <c r="I36" s="7" t="n">
        <v>11507080036</v>
      </c>
    </row>
    <row r="37" ht="20" customHeight="1">
      <c r="A37" s="12" t="n">
        <v>11507080037</v>
      </c>
      <c r="B37" s="13" t="inlineStr">
        <is>
          <t>二崙藥師藥局</t>
        </is>
      </c>
      <c r="C37" s="12" t="inlineStr">
        <is>
          <t>A-2-649-007-001</t>
        </is>
      </c>
      <c r="D37" s="13" t="inlineStr">
        <is>
          <t>05-5990-299</t>
        </is>
      </c>
      <c r="E37" s="13" t="inlineStr">
        <is>
          <t>649雲林縣二崙鄉中山路199號</t>
        </is>
      </c>
      <c r="F37" s="12" t="inlineStr">
        <is>
          <t>DL01166182</t>
        </is>
      </c>
      <c r="G37" s="13" t="n">
        <v/>
      </c>
      <c r="H37" s="13" t="n">
        <v/>
      </c>
      <c r="I37" s="14" t="n">
        <v>11507080037</v>
      </c>
    </row>
    <row r="38" ht="20" customHeight="1">
      <c r="A38" s="9" t="n">
        <v>11507080038</v>
      </c>
      <c r="B38" s="11" t="inlineStr">
        <is>
          <t>二崙藥師藥局</t>
        </is>
      </c>
      <c r="C38" s="9" t="inlineStr">
        <is>
          <t>A-1-649-007-001</t>
        </is>
      </c>
      <c r="D38" s="11" t="inlineStr">
        <is>
          <t>05-5990-299</t>
        </is>
      </c>
      <c r="E38" s="11" t="inlineStr">
        <is>
          <t>649雲林縣二崙鄉中山路199號</t>
        </is>
      </c>
      <c r="F38" s="9" t="inlineStr">
        <is>
          <t>DL01166183</t>
        </is>
      </c>
      <c r="G38" s="11" t="inlineStr">
        <is>
          <t>二崙(活動）</t>
        </is>
      </c>
      <c r="H38" s="11" t="n">
        <v/>
      </c>
      <c r="I38" s="7" t="n">
        <v>11507080037</v>
      </c>
    </row>
    <row r="39" ht="20" customHeight="1">
      <c r="A39" s="12" t="n">
        <v>11507080039</v>
      </c>
      <c r="B39" s="13" t="inlineStr">
        <is>
          <t>武田藥局</t>
        </is>
      </c>
      <c r="C39" s="12" t="inlineStr">
        <is>
          <t>A-1-640-006-001</t>
        </is>
      </c>
      <c r="D39" s="13" t="n">
        <v/>
      </c>
      <c r="E39" s="13" t="inlineStr">
        <is>
          <t>640雲林縣斗六巿中華路161號</t>
        </is>
      </c>
      <c r="F39" s="12" t="inlineStr">
        <is>
          <t>DL01166184</t>
        </is>
      </c>
      <c r="G39" s="13" t="inlineStr">
        <is>
          <t>KYS30 900*3
KY100 2300*3</t>
        </is>
      </c>
      <c r="H39" s="13" t="n">
        <v/>
      </c>
      <c r="I39" s="14" t="n">
        <v>11507080039</v>
      </c>
    </row>
    <row r="40" ht="20" customHeight="1">
      <c r="A40" s="9" t="n">
        <v>11507080040</v>
      </c>
      <c r="B40" s="11" t="inlineStr">
        <is>
          <t>德賢藥師藥局</t>
        </is>
      </c>
      <c r="C40" s="9" t="inlineStr">
        <is>
          <t>A-1-811-002-001</t>
        </is>
      </c>
      <c r="D40" s="11" t="n">
        <v/>
      </c>
      <c r="E40" s="11" t="inlineStr">
        <is>
          <t>811高雄市楠梓區德賢路553號</t>
        </is>
      </c>
      <c r="F40" s="9" t="inlineStr">
        <is>
          <t>DL01166185</t>
        </is>
      </c>
      <c r="G40" s="11" t="n">
        <v/>
      </c>
      <c r="H40" s="11" t="n">
        <v/>
      </c>
      <c r="I40" s="7" t="n">
        <v>11507080040</v>
      </c>
    </row>
    <row r="41" ht="20" customHeight="1">
      <c r="A41" s="12" t="n">
        <v>11507080041</v>
      </c>
      <c r="B41" s="13" t="inlineStr">
        <is>
          <t>安泰專業藥局</t>
        </is>
      </c>
      <c r="C41" s="12" t="inlineStr">
        <is>
          <t>T-0-831-012-001</t>
        </is>
      </c>
      <c r="D41" s="13" t="n">
        <v/>
      </c>
      <c r="E41" s="13" t="inlineStr">
        <is>
          <t>831高雄市大寮區鳳林三路835號</t>
        </is>
      </c>
      <c r="F41" s="12" t="inlineStr">
        <is>
          <t>DL01166186</t>
        </is>
      </c>
      <c r="G41" s="13" t="n">
        <v/>
      </c>
      <c r="H41" s="13" t="n">
        <v/>
      </c>
      <c r="I41" s="14" t="n">
        <v>11507080041</v>
      </c>
    </row>
    <row r="42" ht="20" customHeight="1">
      <c r="A42" s="9" t="n">
        <v>11507080042</v>
      </c>
      <c r="B42" s="11" t="inlineStr">
        <is>
          <t>安泰專業藥局</t>
        </is>
      </c>
      <c r="C42" s="9" t="inlineStr">
        <is>
          <t>A-2-831-020-001</t>
        </is>
      </c>
      <c r="D42" s="11" t="n">
        <v/>
      </c>
      <c r="E42" s="11" t="inlineStr">
        <is>
          <t>831高雄市大寮區鳳林三路835號</t>
        </is>
      </c>
      <c r="F42" s="9" t="inlineStr">
        <is>
          <t>DL01166187</t>
        </is>
      </c>
      <c r="G42" s="11" t="n">
        <v/>
      </c>
      <c r="H42" s="11" t="n">
        <v/>
      </c>
      <c r="I42" s="7" t="n">
        <v>11507080041</v>
      </c>
    </row>
    <row r="43" ht="20" customHeight="1">
      <c r="A43" s="12" t="n">
        <v>11507080043</v>
      </c>
      <c r="B43" s="13" t="inlineStr">
        <is>
          <t>葉藥局</t>
        </is>
      </c>
      <c r="C43" s="12" t="inlineStr">
        <is>
          <t>A-2-906-007-001</t>
        </is>
      </c>
      <c r="D43" s="13" t="n">
        <v/>
      </c>
      <c r="E43" s="13" t="inlineStr">
        <is>
          <t>906屏東縣高樹鄉南興路135號1樓</t>
        </is>
      </c>
      <c r="F43" s="12" t="inlineStr">
        <is>
          <t>DL01166188</t>
        </is>
      </c>
      <c r="G43" s="13" t="n">
        <v/>
      </c>
      <c r="H43" s="13" t="n">
        <v/>
      </c>
      <c r="I43" s="14" t="n">
        <v>11507080043</v>
      </c>
    </row>
    <row r="44" ht="20" customHeight="1">
      <c r="A44" s="9" t="n">
        <v>11507080044</v>
      </c>
      <c r="B44" s="11" t="inlineStr">
        <is>
          <t>小花中西藥局</t>
        </is>
      </c>
      <c r="C44" s="9" t="inlineStr">
        <is>
          <t>A-1-807-207-001</t>
        </is>
      </c>
      <c r="D44" s="11" t="inlineStr">
        <is>
          <t>07-385-1232</t>
        </is>
      </c>
      <c r="E44" s="11" t="inlineStr">
        <is>
          <t>807高雄市三民區陽明路73號</t>
        </is>
      </c>
      <c r="F44" s="9" t="inlineStr">
        <is>
          <t>DL01166189</t>
        </is>
      </c>
      <c r="G44" s="11" t="inlineStr">
        <is>
          <t>Q</t>
        </is>
      </c>
      <c r="H44" s="11" t="n">
        <v/>
      </c>
      <c r="I44" s="7" t="n">
        <v>11507080015</v>
      </c>
    </row>
    <row r="45" ht="20" customHeight="1">
      <c r="A45" s="12" t="n">
        <v>11507080045</v>
      </c>
      <c r="B45" s="13" t="inlineStr">
        <is>
          <t>健康大藥局</t>
        </is>
      </c>
      <c r="C45" s="12" t="inlineStr">
        <is>
          <t>A-2-950-008-001</t>
        </is>
      </c>
      <c r="D45" s="13" t="n">
        <v/>
      </c>
      <c r="E45" s="13" t="inlineStr">
        <is>
          <t>950台東巿新生路489號</t>
        </is>
      </c>
      <c r="F45" s="12" t="inlineStr">
        <is>
          <t>DL01166190</t>
        </is>
      </c>
      <c r="G45" s="13" t="inlineStr">
        <is>
          <t>Q</t>
        </is>
      </c>
      <c r="H45" s="13" t="n">
        <v/>
      </c>
      <c r="I45" s="14" t="n">
        <v>11507080016</v>
      </c>
    </row>
    <row r="46" ht="20" customHeight="1">
      <c r="A46" s="9" t="n">
        <v>11507080046</v>
      </c>
      <c r="B46" s="11" t="inlineStr">
        <is>
          <t>健康大藥局</t>
        </is>
      </c>
      <c r="C46" s="9" t="inlineStr">
        <is>
          <t>T-0-950-011-001</t>
        </is>
      </c>
      <c r="D46" s="11" t="n">
        <v/>
      </c>
      <c r="E46" s="11" t="inlineStr">
        <is>
          <t>950台東巿新生路489號</t>
        </is>
      </c>
      <c r="F46" s="9" t="inlineStr">
        <is>
          <t>DL01166191</t>
        </is>
      </c>
      <c r="G46" s="11" t="inlineStr">
        <is>
          <t>Q</t>
        </is>
      </c>
      <c r="H46" s="11" t="n">
        <v/>
      </c>
      <c r="I46" s="7" t="n">
        <v>11507080016</v>
      </c>
    </row>
    <row r="47" ht="20" customHeight="1">
      <c r="A47" s="12" t="n">
        <v>11507080047</v>
      </c>
      <c r="B47" s="13" t="inlineStr">
        <is>
          <t>王藥局</t>
        </is>
      </c>
      <c r="C47" s="12" t="inlineStr">
        <is>
          <t>A-1-830-012-001</t>
        </is>
      </c>
      <c r="D47" s="13" t="n">
        <v/>
      </c>
      <c r="E47" s="13" t="inlineStr">
        <is>
          <t>830高雄巿鳳山區南江街129號</t>
        </is>
      </c>
      <c r="F47" s="12" t="inlineStr">
        <is>
          <t>DL01166192</t>
        </is>
      </c>
      <c r="G47" s="13" t="inlineStr">
        <is>
          <t>Ky 2300*5 (2聯發票）</t>
        </is>
      </c>
      <c r="H47" s="13" t="n">
        <v/>
      </c>
      <c r="I47" s="14" t="n">
        <v>11507080047</v>
      </c>
    </row>
    <row r="48" ht="20" customHeight="1">
      <c r="A48" s="9" t="n">
        <v>11507080048</v>
      </c>
      <c r="B48" s="11" t="inlineStr">
        <is>
          <t>三和藥局</t>
        </is>
      </c>
      <c r="C48" s="9" t="inlineStr">
        <is>
          <t>T-0-900-002-001</t>
        </is>
      </c>
      <c r="D48" s="11" t="n">
        <v/>
      </c>
      <c r="E48" s="11" t="inlineStr">
        <is>
          <t>900屏東市中華路8號</t>
        </is>
      </c>
      <c r="F48" s="9" t="inlineStr">
        <is>
          <t>DL01166193</t>
        </is>
      </c>
      <c r="G48" s="11" t="n">
        <v/>
      </c>
      <c r="H48" s="11" t="n">
        <v/>
      </c>
      <c r="I48" s="7" t="n">
        <v>11507080048</v>
      </c>
    </row>
    <row r="49" ht="20" customHeight="1">
      <c r="A49" s="12" t="n">
        <v>11507080049</v>
      </c>
      <c r="B49" s="13" t="inlineStr">
        <is>
          <t>建保藥局</t>
        </is>
      </c>
      <c r="C49" s="12" t="inlineStr">
        <is>
          <t>A-1-830-018-001</t>
        </is>
      </c>
      <c r="D49" s="13" t="n">
        <v/>
      </c>
      <c r="E49" s="13" t="inlineStr">
        <is>
          <t>830高雄市鳳山區八德路201號</t>
        </is>
      </c>
      <c r="F49" s="12" t="inlineStr">
        <is>
          <t>DL01166194</t>
        </is>
      </c>
      <c r="G49" s="13" t="inlineStr">
        <is>
          <t>P012607060007</t>
        </is>
      </c>
      <c r="H49" s="13" t="n">
        <v/>
      </c>
      <c r="I49" s="14" t="n">
        <v>11507080049</v>
      </c>
    </row>
    <row r="50" ht="20" customHeight="1">
      <c r="A50" s="9" t="n">
        <v>11507080050</v>
      </c>
      <c r="B50" s="11" t="inlineStr">
        <is>
          <t>元盛藥局</t>
        </is>
      </c>
      <c r="C50" s="9" t="inlineStr">
        <is>
          <t>A-1-800-003-001</t>
        </is>
      </c>
      <c r="D50" s="11" t="n">
        <v/>
      </c>
      <c r="E50" s="11" t="inlineStr">
        <is>
          <t>800高雄巿新興區六合路153號</t>
        </is>
      </c>
      <c r="F50" s="9" t="inlineStr">
        <is>
          <t>DL01166195</t>
        </is>
      </c>
      <c r="G50" s="11" t="n">
        <v/>
      </c>
      <c r="H50" s="11" t="n">
        <v/>
      </c>
      <c r="I50" s="7" t="n">
        <v>11507080050</v>
      </c>
    </row>
    <row r="51" ht="20" customHeight="1">
      <c r="A51" s="12" t="n">
        <v>11507080051</v>
      </c>
      <c r="B51" s="13" t="inlineStr">
        <is>
          <t>頭張藥局</t>
        </is>
      </c>
      <c r="C51" s="12" t="inlineStr">
        <is>
          <t>A-1-427-012-001</t>
        </is>
      </c>
      <c r="D51" s="13" t="n">
        <v/>
      </c>
      <c r="E51" s="13" t="inlineStr">
        <is>
          <t>427台中市潭子區頭張路一段108號</t>
        </is>
      </c>
      <c r="F51" s="12" t="inlineStr">
        <is>
          <t>DL01166196</t>
        </is>
      </c>
      <c r="G51" s="13" t="inlineStr">
        <is>
          <t>Q</t>
        </is>
      </c>
      <c r="H51" s="13" t="n">
        <v/>
      </c>
      <c r="I51" s="14" t="n">
        <v>11507080051</v>
      </c>
    </row>
    <row r="52" ht="20" customHeight="1">
      <c r="A52" s="9" t="n">
        <v>11507080052</v>
      </c>
      <c r="B52" s="11" t="inlineStr">
        <is>
          <t>福倫藥局</t>
        </is>
      </c>
      <c r="C52" s="9" t="inlineStr">
        <is>
          <t>A-1-540-002-001</t>
        </is>
      </c>
      <c r="D52" s="11" t="inlineStr">
        <is>
          <t>049-220-2918</t>
        </is>
      </c>
      <c r="E52" s="11" t="inlineStr">
        <is>
          <t>540南投市南陽路345號</t>
        </is>
      </c>
      <c r="F52" s="9" t="inlineStr">
        <is>
          <t>DL01166197</t>
        </is>
      </c>
      <c r="G52" s="11" t="inlineStr">
        <is>
          <t>Q</t>
        </is>
      </c>
      <c r="H52" s="11" t="n">
        <v/>
      </c>
      <c r="I52" s="7" t="n">
        <v>11507080024</v>
      </c>
    </row>
    <row r="53" ht="20" customHeight="1">
      <c r="A53" s="12" t="n">
        <v>11507080053</v>
      </c>
      <c r="B53" s="13" t="inlineStr">
        <is>
          <t>烏日福倫藥局</t>
        </is>
      </c>
      <c r="C53" s="12" t="inlineStr">
        <is>
          <t>T-0-414-015-001</t>
        </is>
      </c>
      <c r="D53" s="13" t="n">
        <v/>
      </c>
      <c r="E53" s="13" t="inlineStr">
        <is>
          <t>414台中市烏日區中山路二段112號</t>
        </is>
      </c>
      <c r="F53" s="12" t="inlineStr">
        <is>
          <t>DL01166198</t>
        </is>
      </c>
      <c r="G53" s="13" t="inlineStr">
        <is>
          <t>Q</t>
        </is>
      </c>
      <c r="H53" s="13" t="n">
        <v/>
      </c>
      <c r="I53" s="14" t="n">
        <v>11507080025</v>
      </c>
    </row>
    <row r="54" ht="20" customHeight="1">
      <c r="A54" s="9" t="n">
        <v>11507080054</v>
      </c>
      <c r="B54" s="11" t="inlineStr">
        <is>
          <t>昕妙春藥局</t>
        </is>
      </c>
      <c r="C54" s="9" t="inlineStr">
        <is>
          <t>A-2-923-004-001</t>
        </is>
      </c>
      <c r="D54" s="11" t="inlineStr">
        <is>
          <t>08-785-0153</t>
        </is>
      </c>
      <c r="E54" s="11" t="inlineStr">
        <is>
          <t>923屏東縣萬巒鄉新隆路48號</t>
        </is>
      </c>
      <c r="F54" s="9" t="inlineStr">
        <is>
          <t>DL01166199</t>
        </is>
      </c>
      <c r="G54" s="11" t="n">
        <v/>
      </c>
      <c r="H54" s="11" t="n">
        <v/>
      </c>
      <c r="I54" s="7" t="n">
        <v>11507080054</v>
      </c>
    </row>
    <row r="55" ht="20" customHeight="1">
      <c r="A55" s="12" t="n">
        <v>11507080055</v>
      </c>
      <c r="B55" s="13" t="inlineStr">
        <is>
          <t>大安西藥房</t>
        </is>
      </c>
      <c r="C55" s="12" t="inlineStr">
        <is>
          <t>A-1-600-001-001</t>
        </is>
      </c>
      <c r="D55" s="13" t="inlineStr">
        <is>
          <t>05-225-6100</t>
        </is>
      </c>
      <c r="E55" s="13" t="inlineStr">
        <is>
          <t>600嘉義市中山路189-1號</t>
        </is>
      </c>
      <c r="F55" s="12" t="inlineStr">
        <is>
          <t>DL01166200</t>
        </is>
      </c>
      <c r="G55" s="13" t="n">
        <v/>
      </c>
      <c r="H55" s="13" t="n">
        <v/>
      </c>
      <c r="I55" s="14" t="n">
        <v>11507080055</v>
      </c>
    </row>
    <row r="56" ht="20" customHeight="1">
      <c r="A56" s="9" t="n">
        <v>11507080056</v>
      </c>
      <c r="B56" s="11" t="inlineStr">
        <is>
          <t>明泰藥局</t>
        </is>
      </c>
      <c r="C56" s="9" t="inlineStr">
        <is>
          <t>A-2-647-001-001</t>
        </is>
      </c>
      <c r="D56" s="11" t="n">
        <v/>
      </c>
      <c r="E56" s="11" t="inlineStr">
        <is>
          <t>647雲林縣莿桐鄉中山路106號</t>
        </is>
      </c>
      <c r="F56" s="9" t="inlineStr">
        <is>
          <t>DL01166201</t>
        </is>
      </c>
      <c r="G56" s="11" t="n">
        <v/>
      </c>
      <c r="H56" s="11" t="n">
        <v/>
      </c>
      <c r="I56" s="7" t="n">
        <v>11507080056</v>
      </c>
    </row>
    <row r="57" ht="20" customHeight="1">
      <c r="A57" s="12" t="n">
        <v>11507080057</v>
      </c>
      <c r="B57" s="13" t="inlineStr">
        <is>
          <t>順儷府中藥局</t>
        </is>
      </c>
      <c r="C57" s="12" t="inlineStr">
        <is>
          <t>A-2-236-048-002</t>
        </is>
      </c>
      <c r="D57" s="13" t="n">
        <v/>
      </c>
      <c r="E57" s="13" t="inlineStr">
        <is>
          <t>220新北市板橋區中山路一段96號1、2樓</t>
        </is>
      </c>
      <c r="F57" s="12" t="inlineStr">
        <is>
          <t>DL01166202</t>
        </is>
      </c>
      <c r="G57" s="13" t="inlineStr">
        <is>
          <t>採購單號:1150706214</t>
        </is>
      </c>
      <c r="H57" s="13" t="n">
        <v/>
      </c>
      <c r="I57" s="14" t="n">
        <v>11507080057</v>
      </c>
    </row>
    <row r="58" ht="20" customHeight="1">
      <c r="A58" s="9" t="n">
        <v>11507080058</v>
      </c>
      <c r="B58" s="11" t="inlineStr">
        <is>
          <t>順儷藥師藥局</t>
        </is>
      </c>
      <c r="C58" s="9" t="inlineStr">
        <is>
          <t>T-0-236-036-001</t>
        </is>
      </c>
      <c r="D58" s="11" t="n">
        <v/>
      </c>
      <c r="E58" s="11" t="inlineStr">
        <is>
          <t>236新北巿土城區延和路16-3號</t>
        </is>
      </c>
      <c r="F58" s="9" t="inlineStr">
        <is>
          <t>DL01166203</t>
        </is>
      </c>
      <c r="G58" s="11" t="inlineStr">
        <is>
          <t>採購單號:1150706219</t>
        </is>
      </c>
      <c r="H58" s="11" t="n">
        <v/>
      </c>
      <c r="I58" s="7" t="n">
        <v>11507080058</v>
      </c>
    </row>
    <row r="59" ht="20" customHeight="1">
      <c r="A59" s="12" t="n">
        <v>11507080059</v>
      </c>
      <c r="B59" s="13" t="inlineStr">
        <is>
          <t>順儷長安藥局</t>
        </is>
      </c>
      <c r="C59" s="12" t="inlineStr">
        <is>
          <t>T-0-236-036-009</t>
        </is>
      </c>
      <c r="D59" s="13" t="n">
        <v/>
      </c>
      <c r="E59" s="13" t="inlineStr">
        <is>
          <t>220新北市板橋區長安街138巷1弄52號(1樓)</t>
        </is>
      </c>
      <c r="F59" s="12" t="inlineStr">
        <is>
          <t>DL01166204</t>
        </is>
      </c>
      <c r="G59" s="13" t="inlineStr">
        <is>
          <t>採購單號:1150706221</t>
        </is>
      </c>
      <c r="H59" s="13" t="n">
        <v/>
      </c>
      <c r="I59" s="14" t="n">
        <v>11507080059</v>
      </c>
    </row>
    <row r="60" ht="20" customHeight="1">
      <c r="A60" s="9" t="n">
        <v>11507080060</v>
      </c>
      <c r="B60" s="11" t="inlineStr">
        <is>
          <t>順儷國泰藥局</t>
        </is>
      </c>
      <c r="C60" s="9" t="inlineStr">
        <is>
          <t>T-0-236-036-012</t>
        </is>
      </c>
      <c r="D60" s="11" t="n">
        <v/>
      </c>
      <c r="E60" s="11" t="inlineStr">
        <is>
          <t>220新北市板橋區國泰街28號1樓</t>
        </is>
      </c>
      <c r="F60" s="9" t="inlineStr">
        <is>
          <t>DL01166205</t>
        </is>
      </c>
      <c r="G60" s="11" t="inlineStr">
        <is>
          <t>採購單號:1150706222</t>
        </is>
      </c>
      <c r="H60" s="11" t="n">
        <v/>
      </c>
      <c r="I60" s="7" t="n">
        <v>11507080060</v>
      </c>
    </row>
    <row r="61" ht="20" customHeight="1">
      <c r="A61" s="12" t="n">
        <v>11507080061</v>
      </c>
      <c r="B61" s="13" t="inlineStr">
        <is>
          <t>順儷健康事業股份有限公司環球A8門市</t>
        </is>
      </c>
      <c r="C61" s="12" t="inlineStr">
        <is>
          <t>T-0-236-036-015</t>
        </is>
      </c>
      <c r="D61" s="13" t="n">
        <v/>
      </c>
      <c r="E61" s="13" t="inlineStr">
        <is>
          <t>333桃園市龜山區復興一路8號</t>
        </is>
      </c>
      <c r="F61" s="12" t="inlineStr">
        <is>
          <t>DL01166206</t>
        </is>
      </c>
      <c r="G61" s="13" t="inlineStr">
        <is>
          <t>採購單號:1150706223</t>
        </is>
      </c>
      <c r="H61" s="13" t="n">
        <v/>
      </c>
      <c r="I61" s="14" t="n">
        <v>11507080061</v>
      </c>
    </row>
    <row r="62" ht="20" customHeight="1">
      <c r="A62" s="9" t="n">
        <v>11507080062</v>
      </c>
      <c r="B62" s="11" t="inlineStr">
        <is>
          <t>順儷健康事業股份有限公司大葉門市</t>
        </is>
      </c>
      <c r="C62" s="9" t="inlineStr">
        <is>
          <t>T-0-236-036-016</t>
        </is>
      </c>
      <c r="D62" s="11" t="n">
        <v/>
      </c>
      <c r="E62" s="11" t="inlineStr">
        <is>
          <t>111台北市士林區忠誠路2段55號地下1層</t>
        </is>
      </c>
      <c r="F62" s="9" t="inlineStr">
        <is>
          <t>DL01166207</t>
        </is>
      </c>
      <c r="G62" s="11" t="inlineStr">
        <is>
          <t>採購單號:1150706224</t>
        </is>
      </c>
      <c r="H62" s="11" t="n">
        <v/>
      </c>
      <c r="I62" s="7" t="n">
        <v>11507080062</v>
      </c>
    </row>
    <row r="63" ht="20" customHeight="1">
      <c r="A63" s="12" t="n">
        <v>11507080063</v>
      </c>
      <c r="B63" s="13" t="inlineStr">
        <is>
          <t>順儷藥師藥局</t>
        </is>
      </c>
      <c r="C63" s="12" t="inlineStr">
        <is>
          <t>A-1-236-048-001</t>
        </is>
      </c>
      <c r="D63" s="13" t="n">
        <v/>
      </c>
      <c r="E63" s="13" t="inlineStr">
        <is>
          <t>236新北市土城區延和路16-3號</t>
        </is>
      </c>
      <c r="F63" s="12" t="inlineStr">
        <is>
          <t>DL01166208</t>
        </is>
      </c>
      <c r="G63" s="13" t="inlineStr">
        <is>
          <t>採購單號:1150706209</t>
        </is>
      </c>
      <c r="H63" s="13" t="n">
        <v/>
      </c>
      <c r="I63" s="14" t="n">
        <v>11507080063</v>
      </c>
    </row>
    <row r="64" ht="20" customHeight="1">
      <c r="A64" s="9" t="n">
        <v>11507080064</v>
      </c>
      <c r="B64" s="11" t="inlineStr">
        <is>
          <t>順儷健康事業股份有限公司環球A8門市</t>
        </is>
      </c>
      <c r="C64" s="9" t="inlineStr">
        <is>
          <t>A-1-236-048-015</t>
        </is>
      </c>
      <c r="D64" s="11" t="n">
        <v/>
      </c>
      <c r="E64" s="11" t="inlineStr">
        <is>
          <t>333桃園市龜山區復興一路8號</t>
        </is>
      </c>
      <c r="F64" s="9" t="inlineStr">
        <is>
          <t>DL01166209</t>
        </is>
      </c>
      <c r="G64" s="11" t="inlineStr">
        <is>
          <t>採購單號:1150706212</t>
        </is>
      </c>
      <c r="H64" s="11" t="n">
        <v/>
      </c>
      <c r="I64" s="7" t="n">
        <v>11507080061</v>
      </c>
    </row>
    <row r="65" ht="20" customHeight="1">
      <c r="A65" s="12" t="n">
        <v>11507080065</v>
      </c>
      <c r="B65" s="13" t="inlineStr">
        <is>
          <t>順儷健康事業股份有限公司大葉門市</t>
        </is>
      </c>
      <c r="C65" s="12" t="inlineStr">
        <is>
          <t>A-1-236-048-016</t>
        </is>
      </c>
      <c r="D65" s="13" t="n">
        <v/>
      </c>
      <c r="E65" s="13" t="inlineStr">
        <is>
          <t>111台北市士林區忠誠路2段55號地下1層</t>
        </is>
      </c>
      <c r="F65" s="12" t="inlineStr">
        <is>
          <t>DL01166210</t>
        </is>
      </c>
      <c r="G65" s="13" t="inlineStr">
        <is>
          <t>採購單號:1150706213</t>
        </is>
      </c>
      <c r="H65" s="13" t="n">
        <v/>
      </c>
      <c r="I65" s="14" t="n">
        <v>11507080062</v>
      </c>
    </row>
    <row r="66" ht="20" customHeight="1">
      <c r="A66" s="9" t="n">
        <v>11507080066</v>
      </c>
      <c r="B66" s="11" t="inlineStr">
        <is>
          <t>台化藥局</t>
        </is>
      </c>
      <c r="C66" s="9" t="inlineStr">
        <is>
          <t>A-2-234-029-001</t>
        </is>
      </c>
      <c r="D66" s="11" t="n">
        <v/>
      </c>
      <c r="E66" s="11" t="inlineStr">
        <is>
          <t>234新北巿永和區勵行街119號1樓</t>
        </is>
      </c>
      <c r="F66" s="9" t="inlineStr">
        <is>
          <t>DL01166211</t>
        </is>
      </c>
      <c r="G66" s="11" t="n">
        <v/>
      </c>
      <c r="H66" s="11" t="n">
        <v/>
      </c>
      <c r="I66" s="7" t="n">
        <v>11507080066</v>
      </c>
    </row>
    <row r="67" ht="20" customHeight="1">
      <c r="A67" s="12" t="n">
        <v>11507080067</v>
      </c>
      <c r="B67" s="13" t="inlineStr">
        <is>
          <t>台化藥局</t>
        </is>
      </c>
      <c r="C67" s="12" t="inlineStr">
        <is>
          <t>T-0-234-026-001</t>
        </is>
      </c>
      <c r="D67" s="13" t="n">
        <v/>
      </c>
      <c r="E67" s="13" t="inlineStr">
        <is>
          <t>234新北巿永和區勵行街119號1樓</t>
        </is>
      </c>
      <c r="F67" s="12" t="inlineStr">
        <is>
          <t>DL01166212</t>
        </is>
      </c>
      <c r="G67" s="13" t="n">
        <v/>
      </c>
      <c r="H67" s="13" t="n">
        <v/>
      </c>
      <c r="I67" s="14" t="n">
        <v>11507080066</v>
      </c>
    </row>
    <row r="68" ht="20" customHeight="1">
      <c r="A68" s="9" t="n">
        <v>11507080068</v>
      </c>
      <c r="B68" s="11" t="inlineStr">
        <is>
          <t>宏昌藥局</t>
        </is>
      </c>
      <c r="C68" s="9" t="inlineStr">
        <is>
          <t>A-1-700-030-001</t>
        </is>
      </c>
      <c r="D68" s="11" t="n">
        <v/>
      </c>
      <c r="E68" s="11" t="inlineStr">
        <is>
          <t>701台南巿東區大同路一段271號</t>
        </is>
      </c>
      <c r="F68" s="9" t="inlineStr">
        <is>
          <t>DL01166213</t>
        </is>
      </c>
      <c r="G68" s="11" t="n">
        <v/>
      </c>
      <c r="H68" s="11" t="n">
        <v/>
      </c>
      <c r="I68" s="7" t="n">
        <v>11507080068</v>
      </c>
    </row>
    <row r="69" ht="20" customHeight="1">
      <c r="A69" s="12" t="n">
        <v>11507080069</v>
      </c>
      <c r="B69" s="13" t="inlineStr">
        <is>
          <t>桂林活力藥師藥局孔鳳店</t>
        </is>
      </c>
      <c r="C69" s="12" t="inlineStr">
        <is>
          <t>T-0-812-040-001</t>
        </is>
      </c>
      <c r="D69" s="13" t="n">
        <v/>
      </c>
      <c r="E69" s="13" t="inlineStr">
        <is>
          <t>812高雄市小港區孔鳳路561號1樓</t>
        </is>
      </c>
      <c r="F69" s="12" t="inlineStr">
        <is>
          <t>DL01166214</t>
        </is>
      </c>
      <c r="G69" s="13" t="inlineStr">
        <is>
          <t>P992607070015</t>
        </is>
      </c>
      <c r="H69" s="13" t="n">
        <v/>
      </c>
      <c r="I69" s="14" t="n">
        <v>11507080069</v>
      </c>
    </row>
    <row r="70" ht="20" customHeight="1">
      <c r="A70" s="9" t="n">
        <v>11507080070</v>
      </c>
      <c r="B70" s="11" t="inlineStr">
        <is>
          <t>桂林活力藥師藥局孔鳳店</t>
        </is>
      </c>
      <c r="C70" s="9" t="inlineStr">
        <is>
          <t>A-1-812-021-001</t>
        </is>
      </c>
      <c r="D70" s="11" t="inlineStr">
        <is>
          <t>07-7912331</t>
        </is>
      </c>
      <c r="E70" s="11" t="inlineStr">
        <is>
          <t>812高雄市小港區孔鳳路561號1樓</t>
        </is>
      </c>
      <c r="F70" s="9" t="inlineStr">
        <is>
          <t>DL01166215</t>
        </is>
      </c>
      <c r="G70" s="11" t="inlineStr">
        <is>
          <t>P992607070009</t>
        </is>
      </c>
      <c r="H70" s="11" t="n">
        <v/>
      </c>
      <c r="I70" s="7" t="n">
        <v>11507080069</v>
      </c>
    </row>
    <row r="71" ht="20" customHeight="1">
      <c r="A71" s="12" t="n">
        <v>11507080071</v>
      </c>
      <c r="B71" s="13" t="inlineStr">
        <is>
          <t>桂林活力藥師藥局孔鳳店</t>
        </is>
      </c>
      <c r="C71" s="12" t="inlineStr">
        <is>
          <t>A-1-812-021-001</t>
        </is>
      </c>
      <c r="D71" s="13" t="inlineStr">
        <is>
          <t>07-7912331</t>
        </is>
      </c>
      <c r="E71" s="13" t="inlineStr">
        <is>
          <t>812高雄市小港區孔鳳路561號1樓</t>
        </is>
      </c>
      <c r="F71" s="12" t="inlineStr">
        <is>
          <t>DL01166216</t>
        </is>
      </c>
      <c r="G71" s="13" t="inlineStr">
        <is>
          <t>NEO 650*15.
請隨附DM*10張.</t>
        </is>
      </c>
      <c r="H71" s="13" t="n">
        <v/>
      </c>
      <c r="I71" s="14" t="n">
        <v>11507080069</v>
      </c>
    </row>
    <row r="72" ht="20" customHeight="1">
      <c r="A72" s="9" t="n">
        <v>11507080072</v>
      </c>
      <c r="B72" s="11" t="inlineStr">
        <is>
          <t>順成藥局</t>
        </is>
      </c>
      <c r="C72" s="9" t="inlineStr">
        <is>
          <t>A-1-826-010-001</t>
        </is>
      </c>
      <c r="D72" s="11" t="n">
        <v/>
      </c>
      <c r="E72" s="11" t="inlineStr">
        <is>
          <t>826高雄市梓官區梓官路城隍巷31號</t>
        </is>
      </c>
      <c r="F72" s="9" t="inlineStr">
        <is>
          <t>DL01166217</t>
        </is>
      </c>
      <c r="G72" s="11" t="n">
        <v/>
      </c>
      <c r="H72" s="11" t="n">
        <v/>
      </c>
      <c r="I72" s="7" t="n">
        <v>11507080072</v>
      </c>
    </row>
    <row r="73" ht="20" customHeight="1">
      <c r="A73" s="12" t="n">
        <v>11507080073</v>
      </c>
      <c r="B73" s="13" t="inlineStr">
        <is>
          <t>長榮藥局</t>
        </is>
      </c>
      <c r="C73" s="12" t="inlineStr">
        <is>
          <t>T-0-723-001-001</t>
        </is>
      </c>
      <c r="D73" s="13" t="n">
        <v/>
      </c>
      <c r="E73" s="13" t="inlineStr">
        <is>
          <t>723台南市西港區新興街12巷14號1樓</t>
        </is>
      </c>
      <c r="F73" s="12" t="inlineStr">
        <is>
          <t>DL01166218</t>
        </is>
      </c>
      <c r="G73" s="13" t="n">
        <v/>
      </c>
      <c r="H73" s="13" t="n">
        <v/>
      </c>
      <c r="I73" s="14" t="n">
        <v>11507080073</v>
      </c>
    </row>
    <row r="74" ht="20" customHeight="1">
      <c r="A74" s="9" t="n">
        <v>11507080074</v>
      </c>
      <c r="B74" s="11" t="inlineStr">
        <is>
          <t>進發大藥局</t>
        </is>
      </c>
      <c r="C74" s="9" t="inlineStr">
        <is>
          <t>A-2-220-082-001</t>
        </is>
      </c>
      <c r="D74" s="11" t="n">
        <v/>
      </c>
      <c r="E74" s="11" t="inlineStr">
        <is>
          <t>220新北市板橋區民治街101號1F</t>
        </is>
      </c>
      <c r="F74" s="9" t="inlineStr">
        <is>
          <t>DL01166219</t>
        </is>
      </c>
      <c r="G74" s="11" t="n">
        <v/>
      </c>
      <c r="H74" s="11" t="n">
        <v/>
      </c>
      <c r="I74" s="7" t="n">
        <v>11507080074</v>
      </c>
    </row>
    <row r="75" ht="20" customHeight="1">
      <c r="A75" s="12" t="n">
        <v>11507080075</v>
      </c>
      <c r="B75" s="13" t="inlineStr">
        <is>
          <t>祥田藥局</t>
        </is>
      </c>
      <c r="C75" s="12" t="inlineStr">
        <is>
          <t>A-1-235-013-001</t>
        </is>
      </c>
      <c r="D75" s="13" t="n">
        <v/>
      </c>
      <c r="E75" s="13" t="inlineStr">
        <is>
          <t>235新北巿中和區圓通路236號</t>
        </is>
      </c>
      <c r="F75" s="12" t="inlineStr">
        <is>
          <t>DL01166220</t>
        </is>
      </c>
      <c r="G75" s="13" t="n">
        <v/>
      </c>
      <c r="H75" s="13" t="n">
        <v/>
      </c>
      <c r="I75" s="14" t="n">
        <v>11507080075</v>
      </c>
    </row>
    <row r="76" ht="20" customHeight="1">
      <c r="A76" s="9" t="n">
        <v>11507080076</v>
      </c>
      <c r="B76" s="11" t="inlineStr">
        <is>
          <t>戴安藥局</t>
        </is>
      </c>
      <c r="C76" s="9" t="inlineStr">
        <is>
          <t>T-0-220-095-001</t>
        </is>
      </c>
      <c r="D76" s="11" t="n">
        <v/>
      </c>
      <c r="E76" s="11" t="inlineStr">
        <is>
          <t>220新北巿板橋區溪北路54號</t>
        </is>
      </c>
      <c r="F76" s="9" t="inlineStr">
        <is>
          <t>DL01166221</t>
        </is>
      </c>
      <c r="G76" s="11" t="n">
        <v/>
      </c>
      <c r="H76" s="11" t="n">
        <v/>
      </c>
      <c r="I76" s="7" t="n">
        <v>11507080076</v>
      </c>
    </row>
    <row r="77" ht="20" customHeight="1">
      <c r="A77" s="12" t="n">
        <v>11507080077</v>
      </c>
      <c r="B77" s="13" t="inlineStr">
        <is>
          <t>戴安藥局</t>
        </is>
      </c>
      <c r="C77" s="12" t="inlineStr">
        <is>
          <t>A-2-220-121-001</t>
        </is>
      </c>
      <c r="D77" s="13" t="n">
        <v/>
      </c>
      <c r="E77" s="13" t="inlineStr">
        <is>
          <t>220新北巿板橋區溪北路54號</t>
        </is>
      </c>
      <c r="F77" s="12" t="inlineStr">
        <is>
          <t>DL01166222</t>
        </is>
      </c>
      <c r="G77" s="13" t="n">
        <v/>
      </c>
      <c r="H77" s="13" t="n">
        <v/>
      </c>
      <c r="I77" s="14" t="n">
        <v>11507080076</v>
      </c>
    </row>
    <row r="78" ht="20" customHeight="1">
      <c r="A78" s="9" t="n">
        <v>11507080078</v>
      </c>
      <c r="B78" s="11" t="inlineStr">
        <is>
          <t>柏仁藥局</t>
        </is>
      </c>
      <c r="C78" s="9" t="inlineStr">
        <is>
          <t>A-1-220-238-001</t>
        </is>
      </c>
      <c r="D78" s="11" t="inlineStr">
        <is>
          <t>2686-0978</t>
        </is>
      </c>
      <c r="E78" s="11" t="inlineStr">
        <is>
          <t>220新北市板橋區大觀路三段160巷38號1樓</t>
        </is>
      </c>
      <c r="F78" s="9" t="inlineStr">
        <is>
          <t>DL01166223</t>
        </is>
      </c>
      <c r="G78" s="11" t="inlineStr">
        <is>
          <t>Q</t>
        </is>
      </c>
      <c r="H78" s="11" t="n">
        <v/>
      </c>
      <c r="I78" s="7" t="n">
        <v>11507080028</v>
      </c>
    </row>
    <row r="79" ht="20" customHeight="1">
      <c r="A79" s="12" t="n">
        <v>11507080079</v>
      </c>
      <c r="B79" s="13" t="inlineStr">
        <is>
          <t>柏仁藥局</t>
        </is>
      </c>
      <c r="C79" s="12" t="inlineStr">
        <is>
          <t>A-1-220-238-001</t>
        </is>
      </c>
      <c r="D79" s="13" t="inlineStr">
        <is>
          <t>2686-0978</t>
        </is>
      </c>
      <c r="E79" s="13" t="inlineStr">
        <is>
          <t>220新北市板橋區大觀路三段160巷38號1樓</t>
        </is>
      </c>
      <c r="F79" s="12" t="inlineStr">
        <is>
          <t>DL01166224</t>
        </is>
      </c>
      <c r="G79" s="13" t="inlineStr">
        <is>
          <t>Q</t>
        </is>
      </c>
      <c r="H79" s="13" t="n">
        <v/>
      </c>
      <c r="I79" s="14" t="n">
        <v>11507080028</v>
      </c>
    </row>
    <row r="80" ht="20" customHeight="1">
      <c r="A80" s="9" t="n">
        <v>11507080080</v>
      </c>
      <c r="B80" s="11" t="inlineStr">
        <is>
          <t>柏仁藥局</t>
        </is>
      </c>
      <c r="C80" s="9" t="inlineStr">
        <is>
          <t>A-2-220-238-001</t>
        </is>
      </c>
      <c r="D80" s="11" t="inlineStr">
        <is>
          <t>2686-0978</t>
        </is>
      </c>
      <c r="E80" s="11" t="inlineStr">
        <is>
          <t>220新北市板橋區大觀路三段160巷38號1樓</t>
        </is>
      </c>
      <c r="F80" s="9" t="inlineStr">
        <is>
          <t>DL01166225</t>
        </is>
      </c>
      <c r="G80" s="11" t="inlineStr">
        <is>
          <t>Q</t>
        </is>
      </c>
      <c r="H80" s="11" t="n">
        <v/>
      </c>
      <c r="I80" s="7" t="n">
        <v>11507080028</v>
      </c>
    </row>
    <row r="81" ht="20" customHeight="1">
      <c r="A81" s="12" t="n">
        <v>11507080081</v>
      </c>
      <c r="B81" s="13" t="inlineStr">
        <is>
          <t>田邊藥局</t>
        </is>
      </c>
      <c r="C81" s="12" t="inlineStr">
        <is>
          <t>A-1-235-088-001</t>
        </is>
      </c>
      <c r="D81" s="13" t="n">
        <v/>
      </c>
      <c r="E81" s="13" t="inlineStr">
        <is>
          <t>235新北市中和區泰和街四十三號一樓</t>
        </is>
      </c>
      <c r="F81" s="12" t="inlineStr">
        <is>
          <t>DL01166226</t>
        </is>
      </c>
      <c r="G81" s="13" t="n">
        <v/>
      </c>
      <c r="H81" s="13" t="n">
        <v/>
      </c>
      <c r="I81" s="14" t="n">
        <v>11507080081</v>
      </c>
    </row>
    <row r="82" ht="20" customHeight="1">
      <c r="A82" s="9" t="n">
        <v>11507080082</v>
      </c>
      <c r="B82" s="11" t="inlineStr">
        <is>
          <t>田邊藥局</t>
        </is>
      </c>
      <c r="C82" s="9" t="inlineStr">
        <is>
          <t>A-2-235-088-001</t>
        </is>
      </c>
      <c r="D82" s="11" t="inlineStr">
        <is>
          <t>02-2240-7725</t>
        </is>
      </c>
      <c r="E82" s="11" t="inlineStr">
        <is>
          <t>235新北市中和區泰和街四十三號一樓</t>
        </is>
      </c>
      <c r="F82" s="9" t="inlineStr">
        <is>
          <t>DL01166227</t>
        </is>
      </c>
      <c r="G82" s="11" t="n">
        <v/>
      </c>
      <c r="H82" s="11" t="n">
        <v/>
      </c>
      <c r="I82" s="7" t="n">
        <v>11507080081</v>
      </c>
    </row>
    <row r="83" ht="20" customHeight="1">
      <c r="A83" s="12" t="n">
        <v>11507080083</v>
      </c>
      <c r="B83" s="13" t="inlineStr">
        <is>
          <t>新欣藥局</t>
        </is>
      </c>
      <c r="C83" s="12" t="inlineStr">
        <is>
          <t>T-0-220-158-001</t>
        </is>
      </c>
      <c r="D83" s="13" t="inlineStr">
        <is>
          <t>02-2682-8061</t>
        </is>
      </c>
      <c r="E83" s="13" t="inlineStr">
        <is>
          <t>220新北市板橋區金門街128號</t>
        </is>
      </c>
      <c r="F83" s="12" t="inlineStr">
        <is>
          <t>DL01166228</t>
        </is>
      </c>
      <c r="G83" s="13" t="n">
        <v/>
      </c>
      <c r="H83" s="13" t="n">
        <v/>
      </c>
      <c r="I83" s="14" t="n">
        <v>11507080083</v>
      </c>
    </row>
    <row r="84" ht="20" customHeight="1">
      <c r="A84" s="9" t="n">
        <v>11507080084</v>
      </c>
      <c r="B84" s="11" t="inlineStr">
        <is>
          <t>翰林藥局</t>
        </is>
      </c>
      <c r="C84" s="9" t="inlineStr">
        <is>
          <t>A-1-220-142-001</t>
        </is>
      </c>
      <c r="D84" s="11" t="inlineStr">
        <is>
          <t>02-2960-2748</t>
        </is>
      </c>
      <c r="E84" s="11" t="inlineStr">
        <is>
          <t>220新北市板橋區中正路240號</t>
        </is>
      </c>
      <c r="F84" s="9" t="inlineStr">
        <is>
          <t>DL01166229</t>
        </is>
      </c>
      <c r="G84" s="11" t="n">
        <v/>
      </c>
      <c r="H84" s="11" t="n">
        <v/>
      </c>
      <c r="I84" s="7" t="n">
        <v>11507080029</v>
      </c>
    </row>
    <row r="85" ht="20" customHeight="1">
      <c r="A85" s="12" t="n">
        <v>11507080085</v>
      </c>
      <c r="B85" s="13" t="inlineStr">
        <is>
          <t>荷寧藥局</t>
        </is>
      </c>
      <c r="C85" s="12" t="inlineStr">
        <is>
          <t>A-2-300-141-001</t>
        </is>
      </c>
      <c r="D85" s="13" t="inlineStr">
        <is>
          <t>03-533-8890</t>
        </is>
      </c>
      <c r="E85" s="13" t="inlineStr">
        <is>
          <t>300新竹市北區武陵路141號1樓</t>
        </is>
      </c>
      <c r="F85" s="12" t="inlineStr">
        <is>
          <t>DL01166230</t>
        </is>
      </c>
      <c r="G85" s="13" t="inlineStr">
        <is>
          <t>Q</t>
        </is>
      </c>
      <c r="H85" s="13" t="n">
        <v/>
      </c>
      <c r="I85" s="14" t="n">
        <v>11507080030</v>
      </c>
    </row>
    <row r="86" ht="20" customHeight="1">
      <c r="A86" s="9" t="n">
        <v>11507080086</v>
      </c>
      <c r="B86" s="11" t="inlineStr">
        <is>
          <t>喬寶藥局</t>
        </is>
      </c>
      <c r="C86" s="9" t="inlineStr">
        <is>
          <t>A-2-200-115-001</t>
        </is>
      </c>
      <c r="D86" s="11" t="n">
        <v/>
      </c>
      <c r="E86" s="11" t="inlineStr">
        <is>
          <t>202基隆市中正區義二路六十六號一樓</t>
        </is>
      </c>
      <c r="F86" s="9" t="inlineStr">
        <is>
          <t>DL01166231</t>
        </is>
      </c>
      <c r="G86" s="11" t="n">
        <v/>
      </c>
      <c r="H86" s="11" t="n">
        <v/>
      </c>
      <c r="I86" s="7" t="n">
        <v>11507080086</v>
      </c>
    </row>
    <row r="87" ht="20" customHeight="1">
      <c r="A87" s="12" t="n">
        <v>11507080087</v>
      </c>
      <c r="B87" s="13" t="inlineStr">
        <is>
          <t>美日藥局</t>
        </is>
      </c>
      <c r="C87" s="12" t="inlineStr">
        <is>
          <t>A-2-104-008-001</t>
        </is>
      </c>
      <c r="D87" s="13" t="n">
        <v/>
      </c>
      <c r="E87" s="13" t="inlineStr">
        <is>
          <t>104台北巿中山區天津街66號1F</t>
        </is>
      </c>
      <c r="F87" s="12" t="inlineStr">
        <is>
          <t>DL01166232</t>
        </is>
      </c>
      <c r="G87" s="13" t="inlineStr">
        <is>
          <t>美日(急件）</t>
        </is>
      </c>
      <c r="H87" s="13" t="n">
        <v/>
      </c>
      <c r="I87" s="14" t="n">
        <v>11507080087</v>
      </c>
    </row>
    <row r="88" ht="20" customHeight="1">
      <c r="A88" s="9" t="n">
        <v>11507080088</v>
      </c>
      <c r="B88" s="11" t="inlineStr">
        <is>
          <t>泰成藥局</t>
        </is>
      </c>
      <c r="C88" s="9" t="inlineStr">
        <is>
          <t>A-2-114-057-001</t>
        </is>
      </c>
      <c r="D88" s="11" t="n">
        <v/>
      </c>
      <c r="E88" s="11" t="inlineStr">
        <is>
          <t>114台北市內湖區內湖路三段135號1F</t>
        </is>
      </c>
      <c r="F88" s="9" t="inlineStr">
        <is>
          <t>DL01166233</t>
        </is>
      </c>
      <c r="G88" s="11" t="n">
        <v/>
      </c>
      <c r="H88" s="11" t="n">
        <v/>
      </c>
      <c r="I88" s="7" t="n">
        <v>11507080088</v>
      </c>
    </row>
    <row r="89" ht="20" customHeight="1">
      <c r="A89" s="12" t="n">
        <v>11507080089</v>
      </c>
      <c r="B89" s="13" t="inlineStr">
        <is>
          <t>宜安藥師藥局</t>
        </is>
      </c>
      <c r="C89" s="12" t="inlineStr">
        <is>
          <t>A-2-337-012-001</t>
        </is>
      </c>
      <c r="D89" s="13" t="inlineStr">
        <is>
          <t>03-384-2639</t>
        </is>
      </c>
      <c r="E89" s="13" t="inlineStr">
        <is>
          <t>337桃園巿大園區中山南路40號1樓</t>
        </is>
      </c>
      <c r="F89" s="12" t="inlineStr">
        <is>
          <t>DL01166234</t>
        </is>
      </c>
      <c r="G89" s="13" t="inlineStr">
        <is>
          <t>Q</t>
        </is>
      </c>
      <c r="H89" s="13" t="n">
        <v/>
      </c>
      <c r="I89" s="14" t="n">
        <v>11507080089</v>
      </c>
    </row>
    <row r="90" ht="20" customHeight="1">
      <c r="A90" s="9" t="n">
        <v>11507080090</v>
      </c>
      <c r="B90" s="11" t="inlineStr">
        <is>
          <t>安德生物科技股份有限公司</t>
        </is>
      </c>
      <c r="C90" s="9" t="inlineStr">
        <is>
          <t>A-1-407-063-001</t>
        </is>
      </c>
      <c r="D90" s="11" t="n">
        <v/>
      </c>
      <c r="E90" s="11" t="inlineStr">
        <is>
          <t>407台中巿西屯區玉門路50巷5-1號</t>
        </is>
      </c>
      <c r="F90" s="9" t="inlineStr">
        <is>
          <t>DL01166235</t>
        </is>
      </c>
      <c r="G90" s="11" t="n">
        <v/>
      </c>
      <c r="H90" s="11" t="n">
        <v/>
      </c>
      <c r="I90" s="7" t="n">
        <v>11507080090</v>
      </c>
    </row>
    <row r="91" ht="20" customHeight="1">
      <c r="A91" s="12" t="n">
        <v>11507080091</v>
      </c>
      <c r="B91" s="13" t="inlineStr">
        <is>
          <t>心美日藥局</t>
        </is>
      </c>
      <c r="C91" s="12" t="inlineStr">
        <is>
          <t>A-1-420-020-001</t>
        </is>
      </c>
      <c r="D91" s="13" t="n">
        <v/>
      </c>
      <c r="E91" s="13" t="inlineStr">
        <is>
          <t>420台中市豐原區中山路357號2樓</t>
        </is>
      </c>
      <c r="F91" s="12" t="inlineStr">
        <is>
          <t>DL01166236</t>
        </is>
      </c>
      <c r="G91" s="13" t="n">
        <v/>
      </c>
      <c r="H91" s="13" t="n">
        <v/>
      </c>
      <c r="I91" s="14" t="n">
        <v>11507080010</v>
      </c>
    </row>
    <row r="92" ht="20" customHeight="1">
      <c r="A92" s="9" t="n">
        <v>11507080092</v>
      </c>
      <c r="B92" s="11" t="inlineStr">
        <is>
          <t>心美日藥局</t>
        </is>
      </c>
      <c r="C92" s="9" t="inlineStr">
        <is>
          <t>T-0-420-018-001</t>
        </is>
      </c>
      <c r="D92" s="11" t="inlineStr">
        <is>
          <t>04-2526-0754</t>
        </is>
      </c>
      <c r="E92" s="11" t="inlineStr">
        <is>
          <t>420台中市豐原區中山路357號2樓</t>
        </is>
      </c>
      <c r="F92" s="9" t="inlineStr">
        <is>
          <t>DL01166237</t>
        </is>
      </c>
      <c r="G92" s="11" t="n">
        <v/>
      </c>
      <c r="H92" s="11" t="n">
        <v/>
      </c>
      <c r="I92" s="7" t="n">
        <v>11507080010</v>
      </c>
    </row>
    <row r="93" ht="20" customHeight="1">
      <c r="A93" s="12" t="n">
        <v>11507080093</v>
      </c>
      <c r="B93" s="13" t="inlineStr">
        <is>
          <t>青育藥局</t>
        </is>
      </c>
      <c r="C93" s="12" t="inlineStr">
        <is>
          <t>A-1-407-061-001</t>
        </is>
      </c>
      <c r="D93" s="13" t="inlineStr">
        <is>
          <t>04-27068798</t>
        </is>
      </c>
      <c r="E93" s="13" t="inlineStr">
        <is>
          <t>407台中巿西屯區河南路二段332號</t>
        </is>
      </c>
      <c r="F93" s="12" t="inlineStr">
        <is>
          <t>DL01166238</t>
        </is>
      </c>
      <c r="G93" s="13" t="n">
        <v/>
      </c>
      <c r="H93" s="13" t="n">
        <v/>
      </c>
      <c r="I93" s="14" t="n">
        <v>11507080093</v>
      </c>
    </row>
    <row r="94" ht="20" customHeight="1">
      <c r="A94" s="9" t="n">
        <v>11507080094</v>
      </c>
      <c r="B94" s="11" t="inlineStr">
        <is>
          <t>青育藥局</t>
        </is>
      </c>
      <c r="C94" s="9" t="inlineStr">
        <is>
          <t>T-0-407-053-001</t>
        </is>
      </c>
      <c r="D94" s="11" t="inlineStr">
        <is>
          <t>04-2461-5628</t>
        </is>
      </c>
      <c r="E94" s="11" t="inlineStr">
        <is>
          <t>407台中巿西屯區河南路二段332號</t>
        </is>
      </c>
      <c r="F94" s="9" t="inlineStr">
        <is>
          <t>DL01166239</t>
        </is>
      </c>
      <c r="G94" s="11" t="n">
        <v/>
      </c>
      <c r="H94" s="11" t="n">
        <v/>
      </c>
      <c r="I94" s="7" t="n">
        <v>11507080093</v>
      </c>
    </row>
    <row r="95" ht="20" customHeight="1">
      <c r="A95" s="12" t="n">
        <v>11507080095</v>
      </c>
      <c r="B95" s="13" t="inlineStr">
        <is>
          <t>富康新民藥局</t>
        </is>
      </c>
      <c r="C95" s="12" t="inlineStr">
        <is>
          <t>A-1-260-045-001</t>
        </is>
      </c>
      <c r="D95" s="13" t="inlineStr">
        <is>
          <t>03-9366060</t>
        </is>
      </c>
      <c r="E95" s="13" t="inlineStr">
        <is>
          <t>260宜蘭縣宜蘭市新民路113號</t>
        </is>
      </c>
      <c r="F95" s="12" t="inlineStr">
        <is>
          <t>DL01166240</t>
        </is>
      </c>
      <c r="G95" s="13" t="n">
        <v/>
      </c>
      <c r="H95" s="13" t="n">
        <v/>
      </c>
      <c r="I95" s="14" t="n">
        <v>11507080095</v>
      </c>
    </row>
    <row r="96" ht="20" customHeight="1">
      <c r="A96" s="9" t="n">
        <v>11507080096</v>
      </c>
      <c r="B96" s="11" t="inlineStr">
        <is>
          <t>泰山藥局</t>
        </is>
      </c>
      <c r="C96" s="9" t="inlineStr">
        <is>
          <t>A-1-260-047-001</t>
        </is>
      </c>
      <c r="D96" s="11" t="inlineStr">
        <is>
          <t>03-933-4428</t>
        </is>
      </c>
      <c r="E96" s="11" t="inlineStr">
        <is>
          <t>260宜蘭市泰山路415號1樓</t>
        </is>
      </c>
      <c r="F96" s="9" t="inlineStr">
        <is>
          <t>DL01166241</t>
        </is>
      </c>
      <c r="G96" s="11" t="inlineStr">
        <is>
          <t>Q</t>
        </is>
      </c>
      <c r="H96" s="11" t="n">
        <v/>
      </c>
      <c r="I96" s="7" t="n">
        <v>11507080096</v>
      </c>
    </row>
    <row r="97" ht="20" customHeight="1">
      <c r="A97" s="12" t="n">
        <v>11507080097</v>
      </c>
      <c r="B97" s="13" t="inlineStr">
        <is>
          <t>泰山藥局</t>
        </is>
      </c>
      <c r="C97" s="12" t="inlineStr">
        <is>
          <t>A-2-260-047-001</t>
        </is>
      </c>
      <c r="D97" s="13" t="inlineStr">
        <is>
          <t>03-933-4428</t>
        </is>
      </c>
      <c r="E97" s="13" t="inlineStr">
        <is>
          <t>260宜蘭市泰山路415號1樓</t>
        </is>
      </c>
      <c r="F97" s="12" t="inlineStr">
        <is>
          <t>DL01166242</t>
        </is>
      </c>
      <c r="G97" s="13" t="inlineStr">
        <is>
          <t>Q</t>
        </is>
      </c>
      <c r="H97" s="13" t="n">
        <v/>
      </c>
      <c r="I97" s="14" t="n">
        <v>11507080096</v>
      </c>
    </row>
    <row r="98" ht="20" customHeight="1">
      <c r="A98" s="9" t="n">
        <v>11507080098</v>
      </c>
      <c r="B98" s="11" t="inlineStr">
        <is>
          <t>泰山藥局</t>
        </is>
      </c>
      <c r="C98" s="9" t="inlineStr">
        <is>
          <t>T-0-260-042-001</t>
        </is>
      </c>
      <c r="D98" s="11" t="inlineStr">
        <is>
          <t>03-933-4428</t>
        </is>
      </c>
      <c r="E98" s="11" t="inlineStr">
        <is>
          <t>260宜蘭市泰山路415號1樓</t>
        </is>
      </c>
      <c r="F98" s="9" t="inlineStr">
        <is>
          <t>DL01166243</t>
        </is>
      </c>
      <c r="G98" s="11" t="inlineStr">
        <is>
          <t>Q</t>
        </is>
      </c>
      <c r="H98" s="11" t="n">
        <v/>
      </c>
      <c r="I98" s="7" t="n">
        <v>11507080096</v>
      </c>
    </row>
    <row r="99" ht="20" customHeight="1">
      <c r="A99" s="12" t="n">
        <v>11507080099</v>
      </c>
      <c r="B99" s="13" t="inlineStr">
        <is>
          <t>宜生藥局</t>
        </is>
      </c>
      <c r="C99" s="12" t="inlineStr">
        <is>
          <t>A-1-260-023-001</t>
        </is>
      </c>
      <c r="D99" s="13" t="n">
        <v/>
      </c>
      <c r="E99" s="13" t="inlineStr">
        <is>
          <t>260宜蘭市新民路111號</t>
        </is>
      </c>
      <c r="F99" s="12" t="inlineStr">
        <is>
          <t>DL01166245</t>
        </is>
      </c>
      <c r="G99" s="13" t="n">
        <v/>
      </c>
      <c r="H99" s="13" t="n">
        <v/>
      </c>
      <c r="I99" s="14" t="n">
        <v>11507080099</v>
      </c>
    </row>
    <row r="100" ht="20" customHeight="1">
      <c r="A100" s="9" t="n">
        <v>11507080100</v>
      </c>
      <c r="B100" s="11" t="inlineStr">
        <is>
          <t>宜生藥局</t>
        </is>
      </c>
      <c r="C100" s="9" t="inlineStr">
        <is>
          <t>T-0-260-018-001</t>
        </is>
      </c>
      <c r="D100" s="11" t="n">
        <v/>
      </c>
      <c r="E100" s="11" t="inlineStr">
        <is>
          <t>260宜蘭市新民路111號</t>
        </is>
      </c>
      <c r="F100" s="9" t="inlineStr">
        <is>
          <t>DL01166246</t>
        </is>
      </c>
      <c r="G100" s="11" t="n">
        <v/>
      </c>
      <c r="H100" s="11" t="n">
        <v/>
      </c>
      <c r="I100" s="7" t="n">
        <v>11507080099</v>
      </c>
    </row>
    <row r="101" ht="20" customHeight="1">
      <c r="A101" s="12" t="n">
        <v>11507080101</v>
      </c>
      <c r="B101" s="13" t="inlineStr">
        <is>
          <t>新禾醫藥有限公司</t>
        </is>
      </c>
      <c r="C101" s="12" t="inlineStr">
        <is>
          <t>A-1-330-129-001</t>
        </is>
      </c>
      <c r="D101" s="13" t="inlineStr">
        <is>
          <t>03-366-1330</t>
        </is>
      </c>
      <c r="E101" s="13" t="inlineStr">
        <is>
          <t>330桃園市桃園區福安里建華三街3號1樓</t>
        </is>
      </c>
      <c r="F101" s="12" t="inlineStr">
        <is>
          <t>DL01166247</t>
        </is>
      </c>
      <c r="G101" s="13" t="n">
        <v/>
      </c>
      <c r="H101" s="13" t="n">
        <v/>
      </c>
      <c r="I101" s="14" t="n">
        <v>11507080101</v>
      </c>
    </row>
    <row r="102" ht="20" customHeight="1">
      <c r="A102" s="9" t="n">
        <v>11507080102</v>
      </c>
      <c r="B102" s="11" t="inlineStr">
        <is>
          <t>新禾醫藥有限公司</t>
        </is>
      </c>
      <c r="C102" s="9" t="inlineStr">
        <is>
          <t>A-2-330-129-001</t>
        </is>
      </c>
      <c r="D102" s="11" t="inlineStr">
        <is>
          <t>03-366-1330</t>
        </is>
      </c>
      <c r="E102" s="11" t="inlineStr">
        <is>
          <t>330桃園市桃園區福安里建華三街3號1樓</t>
        </is>
      </c>
      <c r="F102" s="9" t="inlineStr">
        <is>
          <t>DL01166248</t>
        </is>
      </c>
      <c r="G102" s="11" t="n">
        <v/>
      </c>
      <c r="H102" s="11" t="n">
        <v/>
      </c>
      <c r="I102" s="7" t="n">
        <v>11507080101</v>
      </c>
    </row>
    <row r="103" ht="20" customHeight="1">
      <c r="A103" s="12" t="n">
        <v>11507080103</v>
      </c>
      <c r="B103" s="13" t="inlineStr">
        <is>
          <t>立新藥局</t>
        </is>
      </c>
      <c r="C103" s="12" t="inlineStr">
        <is>
          <t>A-1-236-025-001</t>
        </is>
      </c>
      <c r="D103" s="13" t="n">
        <v/>
      </c>
      <c r="E103" s="13" t="inlineStr">
        <is>
          <t>236新北巿土城區光明街5號1樓</t>
        </is>
      </c>
      <c r="F103" s="12" t="inlineStr">
        <is>
          <t>DL01166249</t>
        </is>
      </c>
      <c r="G103" s="13" t="n">
        <v/>
      </c>
      <c r="H103" s="13" t="n">
        <v/>
      </c>
      <c r="I103" s="14" t="n">
        <v>11507080103</v>
      </c>
    </row>
    <row r="104" ht="20" customHeight="1">
      <c r="A104" s="9" t="n">
        <v>11507080104</v>
      </c>
      <c r="B104" s="11" t="inlineStr">
        <is>
          <t>立新藥局</t>
        </is>
      </c>
      <c r="C104" s="9" t="inlineStr">
        <is>
          <t>A-2-236-025-001</t>
        </is>
      </c>
      <c r="D104" s="11" t="n">
        <v/>
      </c>
      <c r="E104" s="11" t="inlineStr">
        <is>
          <t>236新北市土城區光明街5號1樓</t>
        </is>
      </c>
      <c r="F104" s="9" t="inlineStr">
        <is>
          <t>DL01166250</t>
        </is>
      </c>
      <c r="G104" s="11" t="n">
        <v/>
      </c>
      <c r="H104" s="11" t="n">
        <v/>
      </c>
      <c r="I104" s="7" t="n">
        <v>11507080104</v>
      </c>
    </row>
    <row r="105" ht="20" customHeight="1">
      <c r="A105" s="12" t="n">
        <v>11507080105</v>
      </c>
      <c r="B105" s="13" t="inlineStr">
        <is>
          <t>台化藥局</t>
        </is>
      </c>
      <c r="C105" s="12" t="inlineStr">
        <is>
          <t>A-2-234-029-001</t>
        </is>
      </c>
      <c r="D105" s="13" t="n">
        <v/>
      </c>
      <c r="E105" s="13" t="inlineStr">
        <is>
          <t>234新北巿永和區勵行街119號1樓</t>
        </is>
      </c>
      <c r="F105" s="12" t="inlineStr">
        <is>
          <t>DL01166251</t>
        </is>
      </c>
      <c r="G105" s="13" t="n">
        <v/>
      </c>
      <c r="H105" s="13" t="n">
        <v/>
      </c>
      <c r="I105" s="14" t="n">
        <v>11507080066</v>
      </c>
    </row>
    <row r="106" ht="20" customHeight="1">
      <c r="A106" s="9" t="n">
        <v>11507080106</v>
      </c>
      <c r="B106" s="11" t="inlineStr">
        <is>
          <t>貞心藥局</t>
        </is>
      </c>
      <c r="C106" s="9" t="inlineStr">
        <is>
          <t>A-2-235-136-001</t>
        </is>
      </c>
      <c r="D106" s="11" t="n">
        <v/>
      </c>
      <c r="E106" s="11" t="inlineStr">
        <is>
          <t>235新北巿中和區永貞路280-1號</t>
        </is>
      </c>
      <c r="F106" s="9" t="inlineStr">
        <is>
          <t>DL01166252</t>
        </is>
      </c>
      <c r="G106" s="11" t="n">
        <v/>
      </c>
      <c r="H106" s="11" t="n">
        <v/>
      </c>
      <c r="I106" s="7" t="n">
        <v>11507080106</v>
      </c>
    </row>
    <row r="107" ht="20" customHeight="1">
      <c r="A107" s="12" t="n">
        <v>11507080107</v>
      </c>
      <c r="B107" s="13" t="inlineStr">
        <is>
          <t>富傑藥局</t>
        </is>
      </c>
      <c r="C107" s="12" t="inlineStr">
        <is>
          <t>T-0-712-009-001</t>
        </is>
      </c>
      <c r="D107" s="13" t="n">
        <v/>
      </c>
      <c r="E107" s="13" t="inlineStr">
        <is>
          <t>712台南市新化區中正路545號</t>
        </is>
      </c>
      <c r="F107" s="12" t="inlineStr">
        <is>
          <t>DL01166253</t>
        </is>
      </c>
      <c r="G107" s="13" t="n">
        <v/>
      </c>
      <c r="H107" s="13" t="n">
        <v/>
      </c>
      <c r="I107" s="14" t="n">
        <v>11507080107</v>
      </c>
    </row>
    <row r="108" ht="20" customHeight="1">
      <c r="A108" s="9" t="n">
        <v>11507080108</v>
      </c>
      <c r="B108" s="11" t="inlineStr">
        <is>
          <t>徠的安藥局</t>
        </is>
      </c>
      <c r="C108" s="9" t="inlineStr">
        <is>
          <t>A-2-600-144-001</t>
        </is>
      </c>
      <c r="D108" s="11" t="n">
        <v/>
      </c>
      <c r="E108" s="11" t="inlineStr">
        <is>
          <t>600嘉義市世賢一路549號</t>
        </is>
      </c>
      <c r="F108" s="9" t="inlineStr">
        <is>
          <t>DL01166254</t>
        </is>
      </c>
      <c r="G108" s="11" t="n">
        <v/>
      </c>
      <c r="H108" s="11" t="n">
        <v/>
      </c>
      <c r="I108" s="7" t="n">
        <v>11507080108</v>
      </c>
    </row>
    <row r="109" ht="20" customHeight="1">
      <c r="A109" s="12" t="n">
        <v>11507080109</v>
      </c>
      <c r="B109" s="13" t="inlineStr">
        <is>
          <t>保祥藥局</t>
        </is>
      </c>
      <c r="C109" s="12" t="inlineStr">
        <is>
          <t>A-2-612-009-001</t>
        </is>
      </c>
      <c r="D109" s="13" t="inlineStr">
        <is>
          <t>05-362-2100</t>
        </is>
      </c>
      <c r="E109" s="13" t="inlineStr">
        <is>
          <t>612嘉義縣太保市祥和三路東段75號</t>
        </is>
      </c>
      <c r="F109" s="12" t="inlineStr">
        <is>
          <t>DL01166255</t>
        </is>
      </c>
      <c r="G109" s="13" t="n">
        <v/>
      </c>
      <c r="H109" s="13" t="n">
        <v/>
      </c>
      <c r="I109" s="14" t="n">
        <v>11507080109</v>
      </c>
    </row>
    <row r="110" ht="20" customHeight="1">
      <c r="A110" s="9" t="n">
        <v>11507080110</v>
      </c>
      <c r="B110" s="11" t="inlineStr">
        <is>
          <t>小樹藥局</t>
        </is>
      </c>
      <c r="C110" s="9" t="inlineStr">
        <is>
          <t>A-2-708-011-001</t>
        </is>
      </c>
      <c r="D110" s="11" t="inlineStr">
        <is>
          <t>062959318</t>
        </is>
      </c>
      <c r="E110" s="11" t="inlineStr">
        <is>
          <t>708台南市安平區怡平路137號1樓</t>
        </is>
      </c>
      <c r="F110" s="9" t="inlineStr">
        <is>
          <t>DL01166256</t>
        </is>
      </c>
      <c r="G110" s="11" t="n">
        <v/>
      </c>
      <c r="H110" s="11" t="n">
        <v/>
      </c>
      <c r="I110" s="7" t="n">
        <v>11507080110</v>
      </c>
    </row>
    <row r="111" ht="20" customHeight="1">
      <c r="A111" s="12" t="n">
        <v>11507080111</v>
      </c>
      <c r="B111" s="13" t="inlineStr">
        <is>
          <t>萬樂福藥局</t>
        </is>
      </c>
      <c r="C111" s="12" t="inlineStr">
        <is>
          <t>A-2-600-143-001</t>
        </is>
      </c>
      <c r="D111" s="13" t="n">
        <v/>
      </c>
      <c r="E111" s="13" t="inlineStr">
        <is>
          <t>600嘉義市玉山路190號</t>
        </is>
      </c>
      <c r="F111" s="12" t="inlineStr">
        <is>
          <t>DL01166257</t>
        </is>
      </c>
      <c r="G111" s="13" t="n">
        <v/>
      </c>
      <c r="H111" s="13" t="n">
        <v/>
      </c>
      <c r="I111" s="14" t="n">
        <v>11507080111</v>
      </c>
    </row>
    <row r="112" ht="20" customHeight="1">
      <c r="A112" s="9" t="n">
        <v>11507080112</v>
      </c>
      <c r="B112" s="11" t="inlineStr">
        <is>
          <t>安德生物科技股份有限公司</t>
        </is>
      </c>
      <c r="C112" s="9" t="inlineStr">
        <is>
          <t>A-2-407-063-001</t>
        </is>
      </c>
      <c r="D112" s="11" t="n">
        <v/>
      </c>
      <c r="E112" s="11" t="inlineStr">
        <is>
          <t>407台中巿西屯區玉門路50巷5-1號</t>
        </is>
      </c>
      <c r="F112" s="9" t="inlineStr">
        <is>
          <t>DL01166258</t>
        </is>
      </c>
      <c r="G112" s="11" t="inlineStr">
        <is>
          <t>安德（追加）</t>
        </is>
      </c>
      <c r="H112" s="11" t="n">
        <v/>
      </c>
      <c r="I112" s="7" t="n">
        <v>11507080090</v>
      </c>
    </row>
    <row r="113" ht="20" customHeight="1">
      <c r="A113" s="12" t="n">
        <v>11507080113</v>
      </c>
      <c r="B113" s="13" t="inlineStr">
        <is>
          <t>安德生物科技股份有限公司</t>
        </is>
      </c>
      <c r="C113" s="12" t="inlineStr">
        <is>
          <t>T-0-407-062-001</t>
        </is>
      </c>
      <c r="D113" s="13" t="n">
        <v/>
      </c>
      <c r="E113" s="13" t="inlineStr">
        <is>
          <t>407台中巿西屯區玉門路50巷5-1號</t>
        </is>
      </c>
      <c r="F113" s="12" t="inlineStr">
        <is>
          <t>DL01166259</t>
        </is>
      </c>
      <c r="G113" s="13" t="inlineStr">
        <is>
          <t>安德（追加）</t>
        </is>
      </c>
      <c r="H113" s="13" t="n">
        <v/>
      </c>
      <c r="I113" s="14" t="n">
        <v>11507080090</v>
      </c>
    </row>
    <row r="114" ht="20" customHeight="1">
      <c r="A114" s="9" t="n">
        <v>11507080114</v>
      </c>
      <c r="B114" s="11" t="inlineStr">
        <is>
          <t>老永茂藥局</t>
        </is>
      </c>
      <c r="C114" s="9" t="inlineStr">
        <is>
          <t>A-2-108-032-001</t>
        </is>
      </c>
      <c r="D114" s="11" t="n">
        <v/>
      </c>
      <c r="E114" s="11" t="inlineStr">
        <is>
          <t>108台北市萬華區廣州街64號</t>
        </is>
      </c>
      <c r="F114" s="9" t="n">
        <v/>
      </c>
      <c r="G114" s="11" t="inlineStr">
        <is>
          <t>老永茂（親送）</t>
        </is>
      </c>
      <c r="H114" s="11" t="n">
        <v/>
      </c>
      <c r="I114" s="7" t="n">
        <v>11507080114</v>
      </c>
    </row>
    <row r="115" ht="20" customHeight="1">
      <c r="A115" s="12" t="n">
        <v>11507080115</v>
      </c>
      <c r="B115" s="13" t="inlineStr">
        <is>
          <t>德和便利藥局</t>
        </is>
      </c>
      <c r="C115" s="12" t="inlineStr">
        <is>
          <t>A-2-234-097-001</t>
        </is>
      </c>
      <c r="D115" s="13" t="n">
        <v/>
      </c>
      <c r="E115" s="13" t="inlineStr">
        <is>
          <t>234台北市永和區得和路192號</t>
        </is>
      </c>
      <c r="F115" s="12" t="n">
        <v/>
      </c>
      <c r="G115" s="13" t="inlineStr">
        <is>
          <t xml:space="preserve"> 德和（自送）</t>
        </is>
      </c>
      <c r="H115" s="13" t="n">
        <v/>
      </c>
      <c r="I115" s="14" t="n">
        <v>11507080115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單據號碼</t>
        </is>
      </c>
      <c r="B1" s="1" t="inlineStr">
        <is>
          <t>(客戶全稱)</t>
        </is>
      </c>
      <c r="C1" s="1" t="inlineStr">
        <is>
          <t>客戶編號</t>
        </is>
      </c>
      <c r="D1" s="1" t="inlineStr">
        <is>
          <t>聯絡電話</t>
        </is>
      </c>
      <c r="E1" s="1" t="inlineStr">
        <is>
          <t>地址</t>
        </is>
      </c>
      <c r="F1" s="1" t="inlineStr">
        <is>
          <t>發票號碼</t>
        </is>
      </c>
      <c r="G1" s="1" t="inlineStr">
        <is>
          <t>備註</t>
        </is>
      </c>
      <c r="H1" s="1" t="inlineStr">
        <is>
          <t>聯絡職稱</t>
        </is>
      </c>
      <c r="I1" s="1" t="inlineStr">
        <is>
          <t>併單單號</t>
        </is>
      </c>
    </row>
    <row r="2" ht="20" customHeight="1">
      <c r="A2" s="9" t="n">
        <v>11507080001</v>
      </c>
      <c r="B2" s="11" t="inlineStr">
        <is>
          <t>聖康佳禾藥局</t>
        </is>
      </c>
      <c r="C2" s="9" t="inlineStr">
        <is>
          <t>T-2-411-070-001</t>
        </is>
      </c>
      <c r="D2" s="11" t="inlineStr">
        <is>
          <t>0422772065</t>
        </is>
      </c>
      <c r="E2" s="11" t="inlineStr">
        <is>
          <t>411臺中市太平區光興路831號1樓</t>
        </is>
      </c>
      <c r="F2" s="9" t="inlineStr">
        <is>
          <t>DM07864850</t>
        </is>
      </c>
      <c r="G2" s="11" t="inlineStr">
        <is>
          <t>聖康佳禾（親送）</t>
        </is>
      </c>
      <c r="H2" s="11" t="n">
        <v/>
      </c>
      <c r="I2" s="7" t="n">
        <v>11507080001</v>
      </c>
    </row>
    <row r="3" ht="20" customHeight="1">
      <c r="A3" s="12" t="n">
        <v>11507080002</v>
      </c>
      <c r="B3" s="13" t="inlineStr">
        <is>
          <t>廣欣藥師藥局</t>
        </is>
      </c>
      <c r="C3" s="12" t="inlineStr">
        <is>
          <t>T-2-220-016-001</t>
        </is>
      </c>
      <c r="D3" s="13" t="n">
        <v/>
      </c>
      <c r="E3" s="13" t="inlineStr">
        <is>
          <t>220新北巿板橋區雙十路三段44號2樓.</t>
        </is>
      </c>
      <c r="F3" s="12" t="inlineStr">
        <is>
          <t>DM07864851</t>
        </is>
      </c>
      <c r="G3" s="13" t="n">
        <v/>
      </c>
      <c r="H3" s="13" t="n">
        <v/>
      </c>
      <c r="I3" s="14" t="n">
        <v>11507080002</v>
      </c>
    </row>
    <row r="4" ht="20" customHeight="1">
      <c r="A4" s="9" t="n">
        <v>11507080003</v>
      </c>
      <c r="B4" s="11" t="inlineStr">
        <is>
          <t>祥祐藥局</t>
        </is>
      </c>
      <c r="C4" s="9" t="inlineStr">
        <is>
          <t>T-2-237-021-001</t>
        </is>
      </c>
      <c r="D4" s="11" t="inlineStr">
        <is>
          <t>02-2673-8080</t>
        </is>
      </c>
      <c r="E4" s="11" t="inlineStr">
        <is>
          <t>237新北市三峽區文化路125號1F</t>
        </is>
      </c>
      <c r="F4" s="9" t="inlineStr">
        <is>
          <t>DM07864852</t>
        </is>
      </c>
      <c r="G4" s="11" t="inlineStr">
        <is>
          <t>Q</t>
        </is>
      </c>
      <c r="H4" s="11" t="n">
        <v/>
      </c>
      <c r="I4" s="7" t="n">
        <v>11507080003</v>
      </c>
    </row>
    <row r="5" ht="20" customHeight="1">
      <c r="A5" s="12" t="n">
        <v>11507080004</v>
      </c>
      <c r="B5" s="13" t="inlineStr">
        <is>
          <t>進安藥局</t>
        </is>
      </c>
      <c r="C5" s="12" t="inlineStr">
        <is>
          <t>T-2-237-001-001</t>
        </is>
      </c>
      <c r="D5" s="13" t="n">
        <v/>
      </c>
      <c r="E5" s="13" t="inlineStr">
        <is>
          <t>237新北市三峽區民生街174號</t>
        </is>
      </c>
      <c r="F5" s="12" t="inlineStr">
        <is>
          <t>DM07864853</t>
        </is>
      </c>
      <c r="G5" s="13" t="inlineStr">
        <is>
          <t>Q</t>
        </is>
      </c>
      <c r="H5" s="13" t="n">
        <v/>
      </c>
      <c r="I5" s="14" t="n">
        <v>11507080004</v>
      </c>
    </row>
    <row r="6" ht="20" customHeight="1">
      <c r="A6" s="9" t="n">
        <v>11507080005</v>
      </c>
      <c r="B6" s="11" t="inlineStr">
        <is>
          <t>家佑藥師藥局</t>
        </is>
      </c>
      <c r="C6" s="9" t="inlineStr">
        <is>
          <t>T-2-333-045-001</t>
        </is>
      </c>
      <c r="D6" s="11" t="inlineStr">
        <is>
          <t>03-328-0055</t>
        </is>
      </c>
      <c r="E6" s="11" t="inlineStr">
        <is>
          <t>333桃園縣龜山鄉文化二路30-1號</t>
        </is>
      </c>
      <c r="F6" s="9" t="inlineStr">
        <is>
          <t>DM07864854</t>
        </is>
      </c>
      <c r="G6" s="11" t="inlineStr">
        <is>
          <t>Q</t>
        </is>
      </c>
      <c r="H6" s="11" t="n">
        <v/>
      </c>
      <c r="I6" s="7" t="n">
        <v>11507080005</v>
      </c>
    </row>
    <row r="7" ht="20" customHeight="1">
      <c r="A7" s="12" t="n">
        <v>11507080006</v>
      </c>
      <c r="B7" s="13" t="inlineStr">
        <is>
          <t>藥幸福藥局</t>
        </is>
      </c>
      <c r="C7" s="12" t="inlineStr">
        <is>
          <t>T-2-110-102-001</t>
        </is>
      </c>
      <c r="D7" s="13" t="inlineStr">
        <is>
          <t>23778777</t>
        </is>
      </c>
      <c r="E7" s="13" t="inlineStr">
        <is>
          <t>110臺北市信義區吳興街74號1樓</t>
        </is>
      </c>
      <c r="F7" s="12" t="inlineStr">
        <is>
          <t>DM07864855</t>
        </is>
      </c>
      <c r="G7" s="13" t="n">
        <v/>
      </c>
      <c r="H7" s="13" t="n">
        <v/>
      </c>
      <c r="I7" s="14" t="n">
        <v>11507080006</v>
      </c>
    </row>
    <row r="8" ht="20" customHeight="1">
      <c r="A8" s="9" t="n">
        <v>11507080007</v>
      </c>
      <c r="B8" s="11" t="inlineStr">
        <is>
          <t>藥幸福藥局</t>
        </is>
      </c>
      <c r="C8" s="9" t="inlineStr">
        <is>
          <t>T-2-110-102-001</t>
        </is>
      </c>
      <c r="D8" s="11" t="inlineStr">
        <is>
          <t>23778777</t>
        </is>
      </c>
      <c r="E8" s="11" t="inlineStr">
        <is>
          <t>110臺北市信義區吳興街74號1樓</t>
        </is>
      </c>
      <c r="F8" s="9" t="inlineStr">
        <is>
          <t>DM07864856</t>
        </is>
      </c>
      <c r="G8" s="11" t="n">
        <v/>
      </c>
      <c r="H8" s="11" t="n">
        <v/>
      </c>
      <c r="I8" s="7" t="n">
        <v>11507080006</v>
      </c>
    </row>
    <row r="9" ht="20" customHeight="1">
      <c r="A9" s="12" t="n">
        <v>11507080008</v>
      </c>
      <c r="B9" s="13" t="inlineStr">
        <is>
          <t>建芳藥局</t>
        </is>
      </c>
      <c r="C9" s="12" t="inlineStr">
        <is>
          <t>T-2-265-001-001</t>
        </is>
      </c>
      <c r="D9" s="13" t="n">
        <v/>
      </c>
      <c r="E9" s="13" t="inlineStr">
        <is>
          <t>265宜蘭縣羅東鎮民權路31號</t>
        </is>
      </c>
      <c r="F9" s="12" t="inlineStr">
        <is>
          <t>DM07864857</t>
        </is>
      </c>
      <c r="G9" s="13" t="n">
        <v/>
      </c>
      <c r="H9" s="13" t="n">
        <v/>
      </c>
      <c r="I9" s="14" t="n">
        <v>11507080008</v>
      </c>
    </row>
    <row r="10" ht="20" customHeight="1">
      <c r="A10" s="9" t="n">
        <v>11507080009</v>
      </c>
      <c r="B10" s="11" t="inlineStr">
        <is>
          <t>建芳藥局</t>
        </is>
      </c>
      <c r="C10" s="9" t="inlineStr">
        <is>
          <t>T-2-265-001-001</t>
        </is>
      </c>
      <c r="D10" s="11" t="n">
        <v/>
      </c>
      <c r="E10" s="11" t="inlineStr">
        <is>
          <t>265宜蘭縣羅東鎮民權路31號</t>
        </is>
      </c>
      <c r="F10" s="9" t="inlineStr">
        <is>
          <t>DM07864858</t>
        </is>
      </c>
      <c r="G10" s="11" t="n">
        <v/>
      </c>
      <c r="H10" s="11" t="n">
        <v/>
      </c>
      <c r="I10" s="7" t="n">
        <v>11507080008</v>
      </c>
    </row>
    <row r="11" ht="20" customHeight="1">
      <c r="A11" s="12" t="n">
        <v>11507080010</v>
      </c>
      <c r="B11" s="13" t="inlineStr">
        <is>
          <t>幸福藥局</t>
        </is>
      </c>
      <c r="C11" s="12" t="inlineStr">
        <is>
          <t>T-2-545-030-001</t>
        </is>
      </c>
      <c r="D11" s="13" t="n">
        <v/>
      </c>
      <c r="E11" s="13" t="inlineStr">
        <is>
          <t>545南投縣埔里鎮中正路548號1F</t>
        </is>
      </c>
      <c r="F11" s="12" t="inlineStr">
        <is>
          <t>DM07864859</t>
        </is>
      </c>
      <c r="G11" s="13" t="inlineStr">
        <is>
          <t>幸福（親送）</t>
        </is>
      </c>
      <c r="H11" s="13" t="n">
        <v/>
      </c>
      <c r="I11" s="14" t="n">
        <v>11507080010</v>
      </c>
    </row>
    <row r="12" ht="20" customHeight="1">
      <c r="A12" s="9" t="n">
        <v>11507080011</v>
      </c>
      <c r="B12" s="11" t="inlineStr">
        <is>
          <t>真安大藥局</t>
        </is>
      </c>
      <c r="C12" s="9" t="inlineStr">
        <is>
          <t>T-2-414-006-001</t>
        </is>
      </c>
      <c r="D12" s="11" t="n">
        <v/>
      </c>
      <c r="E12" s="11" t="inlineStr">
        <is>
          <t>414台中市烏日區仁德村興祥街3號</t>
        </is>
      </c>
      <c r="F12" s="9" t="inlineStr">
        <is>
          <t>DM07864860</t>
        </is>
      </c>
      <c r="G12" s="11" t="inlineStr">
        <is>
          <t>真安（親送）</t>
        </is>
      </c>
      <c r="H12" s="11" t="n">
        <v/>
      </c>
      <c r="I12" s="7" t="n">
        <v>11507080011</v>
      </c>
    </row>
    <row r="13" ht="20" customHeight="1">
      <c r="A13" s="12" t="n">
        <v>11507080012</v>
      </c>
      <c r="B13" s="13" t="inlineStr">
        <is>
          <t>大里康媞藥局</t>
        </is>
      </c>
      <c r="C13" s="12" t="inlineStr">
        <is>
          <t>T-2-412-054-001</t>
        </is>
      </c>
      <c r="D13" s="13" t="n">
        <v/>
      </c>
      <c r="E13" s="13" t="inlineStr">
        <is>
          <t>412台中市大里區塗城路494號</t>
        </is>
      </c>
      <c r="F13" s="12" t="inlineStr">
        <is>
          <t>DM07864861</t>
        </is>
      </c>
      <c r="G13" s="13" t="inlineStr">
        <is>
          <t>大里康媞（親送）</t>
        </is>
      </c>
      <c r="H13" s="13" t="n">
        <v/>
      </c>
      <c r="I13" s="14" t="n">
        <v>11507080012</v>
      </c>
    </row>
    <row r="14" ht="20" customHeight="1">
      <c r="A14" s="9" t="n">
        <v>11507080013</v>
      </c>
      <c r="B14" s="11" t="inlineStr">
        <is>
          <t>鴻儀藥房</t>
        </is>
      </c>
      <c r="C14" s="9" t="inlineStr">
        <is>
          <t>T-2-402-036-001</t>
        </is>
      </c>
      <c r="D14" s="11" t="n">
        <v/>
      </c>
      <c r="E14" s="11" t="inlineStr">
        <is>
          <t>402台中市南區大慶街二段3-4號</t>
        </is>
      </c>
      <c r="F14" s="9" t="inlineStr">
        <is>
          <t>DM07864862</t>
        </is>
      </c>
      <c r="G14" s="11" t="n">
        <v/>
      </c>
      <c r="H14" s="11" t="n">
        <v/>
      </c>
      <c r="I14" s="7" t="n">
        <v>11507080013</v>
      </c>
    </row>
    <row r="15" ht="20" customHeight="1">
      <c r="A15" s="12" t="n">
        <v>11507080014</v>
      </c>
      <c r="B15" s="13" t="inlineStr">
        <is>
          <t>鴻儀藥房</t>
        </is>
      </c>
      <c r="C15" s="12" t="inlineStr">
        <is>
          <t>T-2-402-036-001</t>
        </is>
      </c>
      <c r="D15" s="13" t="n">
        <v/>
      </c>
      <c r="E15" s="13" t="inlineStr">
        <is>
          <t>402台中市南區大慶街二段3-4號</t>
        </is>
      </c>
      <c r="F15" s="12" t="inlineStr">
        <is>
          <t>DM07864863</t>
        </is>
      </c>
      <c r="G15" s="13" t="n">
        <v/>
      </c>
      <c r="H15" s="13" t="n">
        <v/>
      </c>
      <c r="I15" s="14" t="n">
        <v>11507080013</v>
      </c>
    </row>
    <row r="16" ht="20" customHeight="1">
      <c r="A16" s="9" t="n">
        <v>11507080015</v>
      </c>
      <c r="B16" s="11" t="inlineStr">
        <is>
          <t>小花中西藥局</t>
        </is>
      </c>
      <c r="C16" s="9" t="inlineStr">
        <is>
          <t>T-2-807-129-001</t>
        </is>
      </c>
      <c r="D16" s="11" t="inlineStr">
        <is>
          <t>07-385-1232</t>
        </is>
      </c>
      <c r="E16" s="11" t="inlineStr">
        <is>
          <t>807高雄市三民區陽明路73號</t>
        </is>
      </c>
      <c r="F16" s="9" t="inlineStr">
        <is>
          <t>DM07864864</t>
        </is>
      </c>
      <c r="G16" s="11" t="inlineStr">
        <is>
          <t>Q</t>
        </is>
      </c>
      <c r="H16" s="11" t="n">
        <v/>
      </c>
      <c r="I16" s="7" t="n">
        <v>11507080015</v>
      </c>
    </row>
    <row r="17" ht="20" customHeight="1">
      <c r="A17" s="12" t="n">
        <v>11507080016</v>
      </c>
      <c r="B17" s="13" t="inlineStr">
        <is>
          <t>健康藥局</t>
        </is>
      </c>
      <c r="C17" s="12" t="inlineStr">
        <is>
          <t>T-2-950-011-001</t>
        </is>
      </c>
      <c r="D17" s="13" t="n">
        <v/>
      </c>
      <c r="E17" s="13" t="inlineStr">
        <is>
          <t>950台東巿新生路489號</t>
        </is>
      </c>
      <c r="F17" s="12" t="inlineStr">
        <is>
          <t>DM07864865</t>
        </is>
      </c>
      <c r="G17" s="13" t="inlineStr">
        <is>
          <t>Q</t>
        </is>
      </c>
      <c r="H17" s="13" t="n">
        <v/>
      </c>
      <c r="I17" s="14" t="n">
        <v>11507080016</v>
      </c>
    </row>
    <row r="18" ht="20" customHeight="1">
      <c r="A18" s="9" t="n">
        <v>11507080017</v>
      </c>
      <c r="B18" s="11" t="inlineStr">
        <is>
          <t>弘安醫藥有限公司</t>
        </is>
      </c>
      <c r="C18" s="9" t="inlineStr">
        <is>
          <t>T-2-600-005-001</t>
        </is>
      </c>
      <c r="D18" s="11" t="n">
        <v/>
      </c>
      <c r="E18" s="11" t="inlineStr">
        <is>
          <t>608嘉義縣水上鄉寬士村崎仔頭1-1300號.-倉庫及辦公室</t>
        </is>
      </c>
      <c r="F18" s="9" t="inlineStr">
        <is>
          <t>DM07864866</t>
        </is>
      </c>
      <c r="G18" s="11" t="inlineStr">
        <is>
          <t>編號20260706313</t>
        </is>
      </c>
      <c r="H18" s="11" t="n">
        <v/>
      </c>
      <c r="I18" s="7" t="n">
        <v>11507080017</v>
      </c>
    </row>
    <row r="19" ht="20" customHeight="1">
      <c r="A19" s="12" t="n">
        <v>11507080018</v>
      </c>
      <c r="B19" s="13" t="inlineStr">
        <is>
          <t>順康藥局</t>
        </is>
      </c>
      <c r="C19" s="12" t="inlineStr">
        <is>
          <t>T-2-806-060-001</t>
        </is>
      </c>
      <c r="D19" s="13" t="n">
        <v/>
      </c>
      <c r="E19" s="13" t="inlineStr">
        <is>
          <t>806高雄巿前鎮區一心二路67號</t>
        </is>
      </c>
      <c r="F19" s="12" t="inlineStr">
        <is>
          <t>DM07864867</t>
        </is>
      </c>
      <c r="G19" s="13" t="n">
        <v/>
      </c>
      <c r="H19" s="13" t="n">
        <v/>
      </c>
      <c r="I19" s="14" t="n">
        <v>11507080018</v>
      </c>
    </row>
    <row r="20" ht="20" customHeight="1">
      <c r="A20" s="9" t="n">
        <v>11507080019</v>
      </c>
      <c r="B20" s="11" t="inlineStr">
        <is>
          <t>安泰藥局</t>
        </is>
      </c>
      <c r="C20" s="9" t="inlineStr">
        <is>
          <t>T-2-831-012-001</t>
        </is>
      </c>
      <c r="D20" s="11" t="n">
        <v/>
      </c>
      <c r="E20" s="11" t="inlineStr">
        <is>
          <t>831高雄市大寮區鳳林三路835號</t>
        </is>
      </c>
      <c r="F20" s="9" t="inlineStr">
        <is>
          <t>DM07864868</t>
        </is>
      </c>
      <c r="G20" s="11" t="n">
        <v/>
      </c>
      <c r="H20" s="11" t="n">
        <v/>
      </c>
      <c r="I20" s="7" t="n">
        <v>11507080019</v>
      </c>
    </row>
    <row r="21" ht="20" customHeight="1">
      <c r="A21" s="12" t="n">
        <v>11507080020</v>
      </c>
      <c r="B21" s="13" t="inlineStr">
        <is>
          <t>安泰藥局</t>
        </is>
      </c>
      <c r="C21" s="12" t="inlineStr">
        <is>
          <t>T-2-831-012-001</t>
        </is>
      </c>
      <c r="D21" s="13" t="n">
        <v/>
      </c>
      <c r="E21" s="13" t="inlineStr">
        <is>
          <t>831高雄市大寮區鳳林三路835號</t>
        </is>
      </c>
      <c r="F21" s="12" t="inlineStr">
        <is>
          <t>DM07864869</t>
        </is>
      </c>
      <c r="G21" s="13" t="n">
        <v/>
      </c>
      <c r="H21" s="13" t="n">
        <v/>
      </c>
      <c r="I21" s="14" t="n">
        <v>11507080019</v>
      </c>
    </row>
    <row r="22" ht="20" customHeight="1">
      <c r="A22" s="9" t="n">
        <v>11507080021</v>
      </c>
      <c r="B22" s="11" t="inlineStr">
        <is>
          <t>新生活藥局</t>
        </is>
      </c>
      <c r="C22" s="9" t="inlineStr">
        <is>
          <t>T-2-600-105-001</t>
        </is>
      </c>
      <c r="D22" s="11" t="inlineStr">
        <is>
          <t>052210338</t>
        </is>
      </c>
      <c r="E22" s="11" t="inlineStr">
        <is>
          <t>600嘉義市東區忠孝北街198號</t>
        </is>
      </c>
      <c r="F22" s="9" t="inlineStr">
        <is>
          <t>DM07864870</t>
        </is>
      </c>
      <c r="G22" s="11" t="inlineStr">
        <is>
          <t>新生活 親送</t>
        </is>
      </c>
      <c r="H22" s="11" t="n">
        <v/>
      </c>
      <c r="I22" s="7" t="n">
        <v>11507080021</v>
      </c>
    </row>
    <row r="23" ht="20" customHeight="1">
      <c r="A23" s="12" t="n">
        <v>11507080022</v>
      </c>
      <c r="B23" s="13" t="inlineStr">
        <is>
          <t>頭張藥局</t>
        </is>
      </c>
      <c r="C23" s="12" t="inlineStr">
        <is>
          <t>T-2-427-003-001</t>
        </is>
      </c>
      <c r="D23" s="13" t="n">
        <v/>
      </c>
      <c r="E23" s="13" t="inlineStr">
        <is>
          <t>427台中市潭子區頭張路一段108號.</t>
        </is>
      </c>
      <c r="F23" s="12" t="inlineStr">
        <is>
          <t>DM07864871</t>
        </is>
      </c>
      <c r="G23" s="13" t="inlineStr">
        <is>
          <t>Q</t>
        </is>
      </c>
      <c r="H23" s="13" t="n">
        <v/>
      </c>
      <c r="I23" s="14" t="n">
        <v>11507080022</v>
      </c>
    </row>
    <row r="24" ht="20" customHeight="1">
      <c r="A24" s="9" t="n">
        <v>11507080023</v>
      </c>
      <c r="B24" s="11" t="inlineStr">
        <is>
          <t>頭張藥局</t>
        </is>
      </c>
      <c r="C24" s="9" t="inlineStr">
        <is>
          <t>T-2-427-003-001</t>
        </is>
      </c>
      <c r="D24" s="11" t="n">
        <v/>
      </c>
      <c r="E24" s="11" t="inlineStr">
        <is>
          <t>427台中市潭子區頭張路一段108號.</t>
        </is>
      </c>
      <c r="F24" s="9" t="inlineStr">
        <is>
          <t>DM07864872</t>
        </is>
      </c>
      <c r="G24" s="11" t="inlineStr">
        <is>
          <t>Q</t>
        </is>
      </c>
      <c r="H24" s="11" t="n">
        <v/>
      </c>
      <c r="I24" s="7" t="n">
        <v>11507080022</v>
      </c>
    </row>
    <row r="25" ht="20" customHeight="1">
      <c r="A25" s="12" t="n">
        <v>11507080024</v>
      </c>
      <c r="B25" s="13" t="inlineStr">
        <is>
          <t>福倫藥局</t>
        </is>
      </c>
      <c r="C25" s="12" t="inlineStr">
        <is>
          <t>T-2-540-003-001</t>
        </is>
      </c>
      <c r="D25" s="13" t="inlineStr">
        <is>
          <t>049-220-2918</t>
        </is>
      </c>
      <c r="E25" s="13" t="inlineStr">
        <is>
          <t>540南投市南陽路345號</t>
        </is>
      </c>
      <c r="F25" s="12" t="inlineStr">
        <is>
          <t>DM07864873</t>
        </is>
      </c>
      <c r="G25" s="13" t="inlineStr">
        <is>
          <t>Q</t>
        </is>
      </c>
      <c r="H25" s="13" t="n">
        <v/>
      </c>
      <c r="I25" s="14" t="n">
        <v>11507080024</v>
      </c>
    </row>
    <row r="26" ht="20" customHeight="1">
      <c r="A26" s="9" t="n">
        <v>11507080025</v>
      </c>
      <c r="B26" s="11" t="inlineStr">
        <is>
          <t>烏日福倫藥局</t>
        </is>
      </c>
      <c r="C26" s="9" t="inlineStr">
        <is>
          <t>T-2-414-015-001</t>
        </is>
      </c>
      <c r="D26" s="11" t="n">
        <v/>
      </c>
      <c r="E26" s="11" t="inlineStr">
        <is>
          <t>414台中市烏日區中山路二段112號</t>
        </is>
      </c>
      <c r="F26" s="9" t="inlineStr">
        <is>
          <t>DM07864874</t>
        </is>
      </c>
      <c r="G26" s="11" t="inlineStr">
        <is>
          <t>Q</t>
        </is>
      </c>
      <c r="H26" s="11" t="n">
        <v/>
      </c>
      <c r="I26" s="7" t="n">
        <v>11507080025</v>
      </c>
    </row>
    <row r="27" ht="20" customHeight="1">
      <c r="A27" s="12" t="n">
        <v>11507080026</v>
      </c>
      <c r="B27" s="13" t="inlineStr">
        <is>
          <t>大愛幸福藥局</t>
        </is>
      </c>
      <c r="C27" s="12" t="inlineStr">
        <is>
          <t>T-2-116-060-001</t>
        </is>
      </c>
      <c r="D27" s="13" t="inlineStr">
        <is>
          <t>29379977</t>
        </is>
      </c>
      <c r="E27" s="13" t="inlineStr">
        <is>
          <t>116台北市文山區木新路二段221號</t>
        </is>
      </c>
      <c r="F27" s="12" t="inlineStr">
        <is>
          <t>DM07864875</t>
        </is>
      </c>
      <c r="G27" s="13" t="inlineStr">
        <is>
          <t>大愛 （親送）</t>
        </is>
      </c>
      <c r="H27" s="13" t="n">
        <v/>
      </c>
      <c r="I27" s="14" t="n">
        <v>11507080026</v>
      </c>
    </row>
    <row r="28" ht="20" customHeight="1">
      <c r="A28" s="9" t="n">
        <v>11507080027</v>
      </c>
      <c r="B28" s="11" t="inlineStr">
        <is>
          <t>廣誠藥師藥局</t>
        </is>
      </c>
      <c r="C28" s="9" t="inlineStr">
        <is>
          <t>T-2-221-030-001</t>
        </is>
      </c>
      <c r="D28" s="11" t="n">
        <v/>
      </c>
      <c r="E28" s="11" t="inlineStr">
        <is>
          <t>221新北巿汐止區建成路22號</t>
        </is>
      </c>
      <c r="F28" s="9" t="inlineStr">
        <is>
          <t>DM07864876</t>
        </is>
      </c>
      <c r="G28" s="11" t="inlineStr">
        <is>
          <t>廣誠（親送）</t>
        </is>
      </c>
      <c r="H28" s="11" t="n">
        <v/>
      </c>
      <c r="I28" s="7" t="n">
        <v>11507080027</v>
      </c>
    </row>
    <row r="29" ht="20" customHeight="1">
      <c r="A29" s="12" t="n">
        <v>11507080028</v>
      </c>
      <c r="B29" s="13" t="inlineStr">
        <is>
          <t>柏仁藥局</t>
        </is>
      </c>
      <c r="C29" s="12" t="inlineStr">
        <is>
          <t>T-2-220-214-001</t>
        </is>
      </c>
      <c r="D29" s="13" t="inlineStr">
        <is>
          <t>2686-0978</t>
        </is>
      </c>
      <c r="E29" s="13" t="inlineStr">
        <is>
          <t>220新北市板橋區大觀路三段160巷38號1樓</t>
        </is>
      </c>
      <c r="F29" s="12" t="inlineStr">
        <is>
          <t>DM07864877</t>
        </is>
      </c>
      <c r="G29" s="13" t="inlineStr">
        <is>
          <t>Q</t>
        </is>
      </c>
      <c r="H29" s="13" t="n">
        <v/>
      </c>
      <c r="I29" s="14" t="n">
        <v>11507080028</v>
      </c>
    </row>
    <row r="30" ht="20" customHeight="1">
      <c r="A30" s="9" t="n">
        <v>11507080029</v>
      </c>
      <c r="B30" s="11" t="inlineStr">
        <is>
          <t>柏仁藥局</t>
        </is>
      </c>
      <c r="C30" s="9" t="inlineStr">
        <is>
          <t>T-2-220-214-001</t>
        </is>
      </c>
      <c r="D30" s="11" t="inlineStr">
        <is>
          <t>2686-0978</t>
        </is>
      </c>
      <c r="E30" s="11" t="inlineStr">
        <is>
          <t>220新北市板橋區大觀路三段160巷38號1樓</t>
        </is>
      </c>
      <c r="F30" s="9" t="inlineStr">
        <is>
          <t>DM07864878</t>
        </is>
      </c>
      <c r="G30" s="11" t="inlineStr">
        <is>
          <t>Q</t>
        </is>
      </c>
      <c r="H30" s="11" t="n">
        <v/>
      </c>
      <c r="I30" s="7" t="n">
        <v>11507080028</v>
      </c>
    </row>
    <row r="31" ht="20" customHeight="1">
      <c r="A31" s="12" t="n">
        <v>11507080030</v>
      </c>
      <c r="B31" s="13" t="inlineStr">
        <is>
          <t>荷寧藥局</t>
        </is>
      </c>
      <c r="C31" s="12" t="inlineStr">
        <is>
          <t>T-2-300-132-001</t>
        </is>
      </c>
      <c r="D31" s="13" t="inlineStr">
        <is>
          <t>03-533-8890</t>
        </is>
      </c>
      <c r="E31" s="13" t="inlineStr">
        <is>
          <t>300新竹市北區武陵路141號1樓</t>
        </is>
      </c>
      <c r="F31" s="12" t="inlineStr">
        <is>
          <t>DM07864879</t>
        </is>
      </c>
      <c r="G31" s="13" t="inlineStr">
        <is>
          <t>Q</t>
        </is>
      </c>
      <c r="H31" s="13" t="n">
        <v/>
      </c>
      <c r="I31" s="14" t="n">
        <v>11507080030</v>
      </c>
    </row>
    <row r="32" ht="20" customHeight="1">
      <c r="A32" s="9" t="n">
        <v>11507080031</v>
      </c>
      <c r="B32" s="11" t="inlineStr">
        <is>
          <t>宜安藥師藥局.</t>
        </is>
      </c>
      <c r="C32" s="9" t="inlineStr">
        <is>
          <t>T-2-337-012-001</t>
        </is>
      </c>
      <c r="D32" s="11" t="n">
        <v/>
      </c>
      <c r="E32" s="11" t="inlineStr">
        <is>
          <t>337桃園巿大園區中華路34號-金安</t>
        </is>
      </c>
      <c r="F32" s="9" t="inlineStr">
        <is>
          <t>DM07864880</t>
        </is>
      </c>
      <c r="G32" s="11" t="inlineStr">
        <is>
          <t>Q</t>
        </is>
      </c>
      <c r="H32" s="11" t="n">
        <v/>
      </c>
      <c r="I32" s="7" t="n">
        <v>11507080031</v>
      </c>
    </row>
    <row r="33" ht="20" customHeight="1">
      <c r="A33" s="12" t="n">
        <v>11507080032</v>
      </c>
      <c r="B33" s="13" t="inlineStr">
        <is>
          <t>泰山藥局</t>
        </is>
      </c>
      <c r="C33" s="12" t="inlineStr">
        <is>
          <t>T-2-260-042-001</t>
        </is>
      </c>
      <c r="D33" s="13" t="inlineStr">
        <is>
          <t>03-933-4428</t>
        </is>
      </c>
      <c r="E33" s="13" t="inlineStr">
        <is>
          <t>260宜蘭市泰山路415號</t>
        </is>
      </c>
      <c r="F33" s="12" t="inlineStr">
        <is>
          <t>DM07864881</t>
        </is>
      </c>
      <c r="G33" s="13" t="inlineStr">
        <is>
          <t>Q</t>
        </is>
      </c>
      <c r="H33" s="13" t="n">
        <v/>
      </c>
      <c r="I33" s="14" t="n">
        <v>11507080032</v>
      </c>
    </row>
    <row r="34" ht="20" customHeight="1">
      <c r="A34" s="9" t="n">
        <v>11507080033</v>
      </c>
      <c r="B34" s="11" t="inlineStr">
        <is>
          <t>信賢藥局</t>
        </is>
      </c>
      <c r="C34" s="9" t="inlineStr">
        <is>
          <t>T-2-411-008-001</t>
        </is>
      </c>
      <c r="D34" s="11" t="n">
        <v/>
      </c>
      <c r="E34" s="11" t="inlineStr">
        <is>
          <t>411台中市太平區中山路二段327號</t>
        </is>
      </c>
      <c r="F34" s="9" t="n">
        <v/>
      </c>
      <c r="G34" s="11" t="inlineStr">
        <is>
          <t>Q(P)</t>
        </is>
      </c>
      <c r="H34" s="11" t="n">
        <v/>
      </c>
      <c r="I34" s="7" t="n">
        <v>11507080033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2026-07-15T03:09:11Z</dcterms:created>
  <dcterms:modified xmlns:dcterms="http://purl.org/dc/terms/" xmlns:xsi="http://www.w3.org/2001/XMLSchema-instance" xsi:type="dcterms:W3CDTF">2026-07-15T03:09:11Z</dcterms:modified>
</cp:coreProperties>
</file>